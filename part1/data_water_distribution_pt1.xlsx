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Data_Estimates-on-the-use-of-wa" sheetId="2" r:id="rId6"/>
    <sheet state="visible" name=" Report" sheetId="3" r:id="rId7"/>
    <sheet state="visible" name="Pivot Table 1" sheetId="4" r:id="rId8"/>
  </sheets>
  <definedNames/>
  <calcPr/>
  <pivotCaches>
    <pivotCache cacheId="0" r:id="rId9"/>
    <pivotCache cacheId="1" r:id="rId10"/>
  </pivotCaches>
</workbook>
</file>

<file path=xl/sharedStrings.xml><?xml version="1.0" encoding="utf-8"?>
<sst xmlns="http://schemas.openxmlformats.org/spreadsheetml/2006/main" count="926" uniqueCount="302">
  <si>
    <t>Introduction</t>
  </si>
  <si>
    <t>income_group</t>
  </si>
  <si>
    <t>pop_n</t>
  </si>
  <si>
    <t>pop_n_(m)</t>
  </si>
  <si>
    <t>pop_u</t>
  </si>
  <si>
    <t>pop_u_rounded</t>
  </si>
  <si>
    <t>pop_u_val</t>
  </si>
  <si>
    <t>pop_r</t>
  </si>
  <si>
    <t>pop_r_rounded</t>
  </si>
  <si>
    <t>wat_bas_n</t>
  </si>
  <si>
    <t>wat_bas_n (rounded)</t>
  </si>
  <si>
    <t>wat_lim_n</t>
  </si>
  <si>
    <t>wat_unimp_n</t>
  </si>
  <si>
    <t>wat_sur_n</t>
  </si>
  <si>
    <t>wat_bas_r</t>
  </si>
  <si>
    <t>wat_lim_r</t>
  </si>
  <si>
    <t>wat_unimp_r</t>
  </si>
  <si>
    <t>wat_sur_r</t>
  </si>
  <si>
    <t>wat_bas_u</t>
  </si>
  <si>
    <t>wat_lim_u</t>
  </si>
  <si>
    <t>wat_unimp_u</t>
  </si>
  <si>
    <t>wat_sur_u</t>
  </si>
  <si>
    <t>value_cnt</t>
  </si>
  <si>
    <t xml:space="preserve">Aim </t>
  </si>
  <si>
    <t>Saint Barthelemy</t>
  </si>
  <si>
    <t>NAN</t>
  </si>
  <si>
    <t>Investigate access to safe and affordable drinking water focussing on service levels between different country or regions</t>
  </si>
  <si>
    <t>Data Dictionary</t>
  </si>
  <si>
    <t>name</t>
  </si>
  <si>
    <t>The country or area name.</t>
  </si>
  <si>
    <t>The country’s classification according to income group.</t>
  </si>
  <si>
    <t>The national population size estimate, in thousands.</t>
  </si>
  <si>
    <t>The urban population share estimate in percentage points (%)</t>
  </si>
  <si>
    <t>The rural population share estimate in percentage points (%)</t>
  </si>
  <si>
    <t>The estimated national share of people with limited service (%).</t>
  </si>
  <si>
    <t>The estimated urban share of people with limited service (%).</t>
  </si>
  <si>
    <t>The estimated rural share of people with limited service (%).</t>
  </si>
  <si>
    <t>The estimated national share of people with unimproved service (%)</t>
  </si>
  <si>
    <t>The estimated urban share of people with unimproved service (%)</t>
  </si>
  <si>
    <t>The estimated rural share of people with unimproved service (%).</t>
  </si>
  <si>
    <t>The estimated national share of people with surface service (%).</t>
  </si>
  <si>
    <t>The estimated urban share of people with surface service (%).</t>
  </si>
  <si>
    <t>Nauru</t>
  </si>
  <si>
    <t>High income</t>
  </si>
  <si>
    <t>The estimated rural share of people with surface service (%).</t>
  </si>
  <si>
    <t>The estimated national share of people with at least basic service (%).</t>
  </si>
  <si>
    <t>The estimated urban share of people with at least basic service (%)</t>
  </si>
  <si>
    <t>Gibraltar</t>
  </si>
  <si>
    <t>The estimated rural share of people with at least basic service (%).</t>
  </si>
  <si>
    <t>Saint Martin (French part)</t>
  </si>
  <si>
    <t>Monaco</t>
  </si>
  <si>
    <t>Research Questions</t>
  </si>
  <si>
    <t>How do the world population estimates compare to the provided data set?</t>
  </si>
  <si>
    <t>Bermuda</t>
  </si>
  <si>
    <t>How does urban population share compare to rural?</t>
  </si>
  <si>
    <t>What is the tendency and spread of the different access features?</t>
  </si>
  <si>
    <t>What is the effect of national population size and urbanisation on gross national income and water access?</t>
  </si>
  <si>
    <t>China, Macao SAR</t>
  </si>
  <si>
    <t>Réunion</t>
  </si>
  <si>
    <t>Key Findings</t>
  </si>
  <si>
    <t>The dataset covers 99.6% of the world's population (only a 0.44% difference from the theoretical total), a reliable basis for global level conclusions.</t>
  </si>
  <si>
    <t>Guadeloupe</t>
  </si>
  <si>
    <t>56% of the population is urban vs. 44% rural.</t>
  </si>
  <si>
    <t>Basic water access is left-skewed. The mean sits below the mode for all areas (national mean 89.5 vs. mode 100, rural mean 80.1 vs. mode 100, urban mean 92.8 vs. mode 100), meaning most countries have full access, but a smaller group with much lower access pulls the average down.</t>
  </si>
  <si>
    <t>San Marino</t>
  </si>
  <si>
    <t>Rural basic access has the widest spread (IQR of 35.76, minimum of 5.22), compared to urban (IQR of 8.13, minimum of 0.14 but Q1 of 91.82). This shows urban areas are consistently close to full access, while rural access varies enormously across countries</t>
  </si>
  <si>
    <t>United States Virgin Islands</t>
  </si>
  <si>
    <t>Limited, unimproved, and surface water access are all right-skewed with a mode of 0. Most countries report close to none of their population using these poorer service levels, but a smaller group of countries have much higher shares, up to 51% for unimproved rural access and up to 94% for surface water nationally.</t>
  </si>
  <si>
    <t>Predictors of access: Population size and urbanization show no clear relationship with water access. Income group is the strongest predictor, high income countries average near 100% basic access, low income countries average about 65%.</t>
  </si>
  <si>
    <t>Guam</t>
  </si>
  <si>
    <t>Recommendations</t>
  </si>
  <si>
    <t>Prioritize rural water infrastructure, since rural access is the lowest and most inconsistent globally.</t>
  </si>
  <si>
    <t>Malta</t>
  </si>
  <si>
    <t>Target support toward low income countries, since income group, not population size or urbanization, is the strongest driver of access.</t>
  </si>
  <si>
    <t>Iceland</t>
  </si>
  <si>
    <t>Northern Mariana Islands</t>
  </si>
  <si>
    <t>Luxembourg</t>
  </si>
  <si>
    <t>Saint Pierre and Miquelon</t>
  </si>
  <si>
    <t>Marshall Islands</t>
  </si>
  <si>
    <t>Upper middle income</t>
  </si>
  <si>
    <t>Martinique</t>
  </si>
  <si>
    <t>Andorra</t>
  </si>
  <si>
    <t>American Samoa</t>
  </si>
  <si>
    <t>Greenland</t>
  </si>
  <si>
    <t>French Guiana</t>
  </si>
  <si>
    <t>Palau</t>
  </si>
  <si>
    <t>Falkland Islands (Malvinas)</t>
  </si>
  <si>
    <t>Brunei Darussalam</t>
  </si>
  <si>
    <t>Djibouti</t>
  </si>
  <si>
    <t>Lower middle income</t>
  </si>
  <si>
    <t>Cook Islands</t>
  </si>
  <si>
    <t>Sao Tome and Principe</t>
  </si>
  <si>
    <t>New Caledonia</t>
  </si>
  <si>
    <t>Cabo Verde</t>
  </si>
  <si>
    <t>Montenegro</t>
  </si>
  <si>
    <t>Suriname</t>
  </si>
  <si>
    <t>Tuvalu</t>
  </si>
  <si>
    <t>French Polynesia</t>
  </si>
  <si>
    <t>Fiji</t>
  </si>
  <si>
    <t>Kiribati</t>
  </si>
  <si>
    <t>Isle of Man</t>
  </si>
  <si>
    <t>British Virgin Islands</t>
  </si>
  <si>
    <t>Niue</t>
  </si>
  <si>
    <t>Mayotte</t>
  </si>
  <si>
    <t>Belize</t>
  </si>
  <si>
    <t>Faeroe Islands</t>
  </si>
  <si>
    <t>Bhutan</t>
  </si>
  <si>
    <t>Maldives</t>
  </si>
  <si>
    <t>Saint Helena</t>
  </si>
  <si>
    <t>Barbados</t>
  </si>
  <si>
    <t>Guyana</t>
  </si>
  <si>
    <t>Vanuatu</t>
  </si>
  <si>
    <t>Solomon Islands</t>
  </si>
  <si>
    <t>Tonga</t>
  </si>
  <si>
    <t>Saint Lucia</t>
  </si>
  <si>
    <t>Samoa</t>
  </si>
  <si>
    <t>Liechtenstein</t>
  </si>
  <si>
    <t>Montserrat</t>
  </si>
  <si>
    <t>Tokelau</t>
  </si>
  <si>
    <t>Wallis and Futuna Islands</t>
  </si>
  <si>
    <t>Bahrain</t>
  </si>
  <si>
    <t>Estonia</t>
  </si>
  <si>
    <t>Latvia</t>
  </si>
  <si>
    <t>Cyprus</t>
  </si>
  <si>
    <t>Trinidad and Tobago</t>
  </si>
  <si>
    <t>Guinea-Bissau</t>
  </si>
  <si>
    <t>Low income</t>
  </si>
  <si>
    <t>Mauritius</t>
  </si>
  <si>
    <t>Timor-Leste</t>
  </si>
  <si>
    <t>Eswatini</t>
  </si>
  <si>
    <t>Qatar</t>
  </si>
  <si>
    <t>Puerto Rico</t>
  </si>
  <si>
    <t>Gabon</t>
  </si>
  <si>
    <t>Botswana</t>
  </si>
  <si>
    <t>Lithuania</t>
  </si>
  <si>
    <t>Gambia</t>
  </si>
  <si>
    <t>Armenia</t>
  </si>
  <si>
    <t>Albania</t>
  </si>
  <si>
    <t>North Macedonia</t>
  </si>
  <si>
    <t>Jamaica</t>
  </si>
  <si>
    <t>Slovenia</t>
  </si>
  <si>
    <t>Namibia</t>
  </si>
  <si>
    <t>Lesotho</t>
  </si>
  <si>
    <t>Uruguay</t>
  </si>
  <si>
    <t>Mongolia</t>
  </si>
  <si>
    <t>Georgia</t>
  </si>
  <si>
    <t>Bosnia and Herzegovina</t>
  </si>
  <si>
    <t>Kuwait</t>
  </si>
  <si>
    <t>New Zealand</t>
  </si>
  <si>
    <t>Panama</t>
  </si>
  <si>
    <t>SUM of pop_n</t>
  </si>
  <si>
    <t>AVERAGE of pop_u</t>
  </si>
  <si>
    <t>AVERAGE of wat_bas_n</t>
  </si>
  <si>
    <t>Ireland</t>
  </si>
  <si>
    <t>AVERAGE of wat_lim_n</t>
  </si>
  <si>
    <t>AVERAGE of wat_sur_n</t>
  </si>
  <si>
    <t>AVERAGE of wat_unimp_n</t>
  </si>
  <si>
    <t>Croatia</t>
  </si>
  <si>
    <t>Mauritania</t>
  </si>
  <si>
    <t>Republic of Moldova</t>
  </si>
  <si>
    <t>Central African Republic</t>
  </si>
  <si>
    <t>Singapore</t>
  </si>
  <si>
    <t>SUM of pop_u_val</t>
  </si>
  <si>
    <t>Denmark</t>
  </si>
  <si>
    <t>Oman</t>
  </si>
  <si>
    <t>Finland</t>
  </si>
  <si>
    <t>Grand Total</t>
  </si>
  <si>
    <t>Norway</t>
  </si>
  <si>
    <t>Costa Rica</t>
  </si>
  <si>
    <t>West Bank and Gaza Strip</t>
  </si>
  <si>
    <t>Congo</t>
  </si>
  <si>
    <t>Slovakia</t>
  </si>
  <si>
    <t>Liberia</t>
  </si>
  <si>
    <t>Lebanon</t>
  </si>
  <si>
    <t>Libya</t>
  </si>
  <si>
    <t>Bulgaria</t>
  </si>
  <si>
    <t>El Salvador</t>
  </si>
  <si>
    <t>Nicaragua</t>
  </si>
  <si>
    <t>Turkmenistan</t>
  </si>
  <si>
    <t>Kyrgyzstan</t>
  </si>
  <si>
    <t>China, Hong Kong SAR</t>
  </si>
  <si>
    <t>Paraguay</t>
  </si>
  <si>
    <t>Sierra Leone</t>
  </si>
  <si>
    <t>Lao People's Democratic Republic</t>
  </si>
  <si>
    <t>Israel</t>
  </si>
  <si>
    <t>Switzerland</t>
  </si>
  <si>
    <t>Serbia</t>
  </si>
  <si>
    <t>Togo</t>
  </si>
  <si>
    <t>Papua New Guinea</t>
  </si>
  <si>
    <t>United Arab Emirates</t>
  </si>
  <si>
    <t>Belarus</t>
  </si>
  <si>
    <t>Hungary</t>
  </si>
  <si>
    <t>Austria</t>
  </si>
  <si>
    <t>Honduras</t>
  </si>
  <si>
    <t>Tajikistan</t>
  </si>
  <si>
    <t>Jordan</t>
  </si>
  <si>
    <t>Sweden</t>
  </si>
  <si>
    <t>Dominican Republic</t>
  </si>
  <si>
    <t>Greece</t>
  </si>
  <si>
    <t>Czech Republic</t>
  </si>
  <si>
    <t>Portugal</t>
  </si>
  <si>
    <t>Azerbaijan</t>
  </si>
  <si>
    <t>Belgium</t>
  </si>
  <si>
    <t>Cuba</t>
  </si>
  <si>
    <t>Bolivia (Plurinational State of)</t>
  </si>
  <si>
    <t>Tunisia</t>
  </si>
  <si>
    <t>Haiti</t>
  </si>
  <si>
    <t>South Sudan</t>
  </si>
  <si>
    <t>Burundi</t>
  </si>
  <si>
    <t>Benin</t>
  </si>
  <si>
    <t>Rwanda</t>
  </si>
  <si>
    <t>Guinea</t>
  </si>
  <si>
    <t>Zimbabwe</t>
  </si>
  <si>
    <t>Somalia</t>
  </si>
  <si>
    <t>Senegal</t>
  </si>
  <si>
    <t>Chad</t>
  </si>
  <si>
    <t>Cambodia</t>
  </si>
  <si>
    <t>Netherlands</t>
  </si>
  <si>
    <t>Ecuador</t>
  </si>
  <si>
    <t>Syrian Arab Republic</t>
  </si>
  <si>
    <t>Guatemala</t>
  </si>
  <si>
    <t>Kazakhstan</t>
  </si>
  <si>
    <t>Zambia</t>
  </si>
  <si>
    <t>Chile</t>
  </si>
  <si>
    <t>Romania</t>
  </si>
  <si>
    <t>Malawi</t>
  </si>
  <si>
    <t>Mali</t>
  </si>
  <si>
    <t>Burkina Faso</t>
  </si>
  <si>
    <t>Sri Lanka</t>
  </si>
  <si>
    <t>Niger</t>
  </si>
  <si>
    <t>Australia</t>
  </si>
  <si>
    <t>Democratic People's Republic of Korea</t>
  </si>
  <si>
    <t>Cameroon</t>
  </si>
  <si>
    <t>Côte d'Ivoire</t>
  </si>
  <si>
    <t>Madagascar</t>
  </si>
  <si>
    <t>Venezuela (Bolivarian Republic of)</t>
  </si>
  <si>
    <t>Yemen</t>
  </si>
  <si>
    <t>Nepal</t>
  </si>
  <si>
    <t>Ghana</t>
  </si>
  <si>
    <t>Mozambique</t>
  </si>
  <si>
    <t>Peru</t>
  </si>
  <si>
    <t>Malaysia</t>
  </si>
  <si>
    <t>Angola</t>
  </si>
  <si>
    <t>Uzbekistan</t>
  </si>
  <si>
    <t>Saudi Arabia</t>
  </si>
  <si>
    <t>Morocco</t>
  </si>
  <si>
    <t>Canada</t>
  </si>
  <si>
    <t>Poland</t>
  </si>
  <si>
    <t>Afghanistan</t>
  </si>
  <si>
    <t>Iraq</t>
  </si>
  <si>
    <t>Algeria</t>
  </si>
  <si>
    <t>Ukraine</t>
  </si>
  <si>
    <t>Sudan</t>
  </si>
  <si>
    <t>Argentina</t>
  </si>
  <si>
    <t>Uganda</t>
  </si>
  <si>
    <t>Spain</t>
  </si>
  <si>
    <t>Colombia</t>
  </si>
  <si>
    <t>Republic of Korea</t>
  </si>
  <si>
    <t>Kenya</t>
  </si>
  <si>
    <t>Myanmar</t>
  </si>
  <si>
    <t>South Africa</t>
  </si>
  <si>
    <t>United Republic of Tanzania</t>
  </si>
  <si>
    <t>Italy</t>
  </si>
  <si>
    <t>France</t>
  </si>
  <si>
    <t>United Kingdom</t>
  </si>
  <si>
    <t>Thailand</t>
  </si>
  <si>
    <t>Germany</t>
  </si>
  <si>
    <t>Iran (Islamic Republic of)</t>
  </si>
  <si>
    <t>Turkey</t>
  </si>
  <si>
    <t>Democratic Republic of the Congo</t>
  </si>
  <si>
    <t>Viet Nam</t>
  </si>
  <si>
    <t>Egypt</t>
  </si>
  <si>
    <t>Philippines</t>
  </si>
  <si>
    <t>Ethiopia</t>
  </si>
  <si>
    <t>Japan</t>
  </si>
  <si>
    <t>Mexico</t>
  </si>
  <si>
    <t>Russian Federation</t>
  </si>
  <si>
    <t>Bangladesh</t>
  </si>
  <si>
    <t>Nigeria</t>
  </si>
  <si>
    <t>Brazil</t>
  </si>
  <si>
    <t>Pakistan</t>
  </si>
  <si>
    <t>Indonesia</t>
  </si>
  <si>
    <t>United States of America</t>
  </si>
  <si>
    <t>India</t>
  </si>
  <si>
    <t>China</t>
  </si>
  <si>
    <t>3b</t>
  </si>
  <si>
    <t>How is the spread of access compare over different types of areas?</t>
  </si>
  <si>
    <t>total pop (theoretical)</t>
  </si>
  <si>
    <t>total pop_n_calculated</t>
  </si>
  <si>
    <t>pop percent difference</t>
  </si>
  <si>
    <t>Feature</t>
  </si>
  <si>
    <t>Min</t>
  </si>
  <si>
    <t>Q1</t>
  </si>
  <si>
    <t>Q3</t>
  </si>
  <si>
    <t>Max</t>
  </si>
  <si>
    <t>Mode</t>
  </si>
  <si>
    <t>Mean</t>
  </si>
  <si>
    <t>IQR</t>
  </si>
  <si>
    <t xml:space="preserve"> pop _u calculated</t>
  </si>
  <si>
    <t>pop_rural_calculated</t>
  </si>
  <si>
    <t xml:space="preserve">percent urban </t>
  </si>
  <si>
    <t>percent rural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</si>
</sst>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color rgb="FF000000"/>
      <name val="Arial"/>
      <scheme val="minor"/>
    </font>
    <font>
      <color rgb="FF000000"/>
      <name val="Arial"/>
      <scheme val="minor"/>
    </font>
    <font>
      <color theme="1"/>
      <name val="Arial"/>
      <scheme val="minor"/>
    </font>
    <font>
      <color theme="1"/>
      <name val="Arial"/>
    </font>
  </fonts>
  <fills count="2">
    <fill>
      <patternFill patternType="none"/>
    </fill>
    <fill>
      <patternFill patternType="lightGray"/>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border>
    <border>
      <right style="thin">
        <color rgb="FF00000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1" numFmtId="0" xfId="0" applyFont="1"/>
    <xf borderId="0" fillId="0" fontId="4" numFmtId="0" xfId="0" applyAlignment="1" applyFont="1">
      <alignment readingOrder="0"/>
    </xf>
    <xf borderId="0" fillId="0" fontId="3" numFmtId="0" xfId="0" applyAlignment="1" applyFont="1">
      <alignment readingOrder="0"/>
    </xf>
    <xf borderId="0" fillId="0" fontId="4" numFmtId="0" xfId="0" applyFont="1"/>
    <xf borderId="0" fillId="0" fontId="4" numFmtId="0" xfId="0" applyAlignment="1" applyFont="1">
      <alignment readingOrder="0" shrinkToFit="0" wrapText="1"/>
    </xf>
    <xf borderId="0" fillId="0" fontId="4" numFmtId="4" xfId="0" applyAlignment="1" applyFont="1" applyNumberFormat="1">
      <alignment readingOrder="0"/>
    </xf>
    <xf borderId="0" fillId="0" fontId="4" numFmtId="4" xfId="0" applyFont="1" applyNumberFormat="1"/>
    <xf borderId="0" fillId="0" fontId="1" numFmtId="0" xfId="0" applyAlignment="1" applyFont="1">
      <alignment horizontal="center" readingOrder="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4" fillId="0" fontId="4" numFmtId="0" xfId="0" applyAlignment="1" applyBorder="1" applyFont="1">
      <alignment readingOrder="0"/>
    </xf>
    <xf borderId="5" fillId="0" fontId="4" numFmtId="0" xfId="0" applyBorder="1" applyFont="1"/>
    <xf borderId="6" fillId="0" fontId="4" numFmtId="0" xfId="0" applyBorder="1" applyFont="1"/>
    <xf borderId="1" fillId="0" fontId="1" numFmtId="0" xfId="0" applyAlignment="1" applyBorder="1" applyFont="1">
      <alignment horizontal="center" readingOrder="0"/>
    </xf>
    <xf borderId="2" fillId="0" fontId="1" numFmtId="0" xfId="0" applyAlignment="1" applyBorder="1" applyFont="1">
      <alignment horizontal="center" readingOrder="0"/>
    </xf>
    <xf borderId="7" fillId="0" fontId="1" numFmtId="0" xfId="0" applyAlignment="1" applyBorder="1" applyFont="1">
      <alignment readingOrder="0"/>
    </xf>
    <xf borderId="8" fillId="0" fontId="1" numFmtId="0" xfId="0" applyAlignment="1" applyBorder="1" applyFont="1">
      <alignment readingOrder="0"/>
    </xf>
    <xf borderId="9" fillId="0" fontId="4" numFmtId="0" xfId="0" applyAlignment="1" applyBorder="1" applyFont="1">
      <alignment readingOrder="0"/>
    </xf>
    <xf borderId="7" fillId="0" fontId="4" numFmtId="2" xfId="0" applyAlignment="1" applyBorder="1" applyFont="1" applyNumberFormat="1">
      <alignment readingOrder="0"/>
    </xf>
    <xf borderId="7" fillId="0" fontId="4" numFmtId="2" xfId="0" applyBorder="1" applyFont="1" applyNumberFormat="1"/>
    <xf borderId="8" fillId="0" fontId="4" numFmtId="2" xfId="0" applyBorder="1" applyFont="1" applyNumberFormat="1"/>
    <xf borderId="10" fillId="0" fontId="4" numFmtId="0" xfId="0" applyAlignment="1" applyBorder="1" applyFont="1">
      <alignment readingOrder="0"/>
    </xf>
    <xf borderId="0" fillId="0" fontId="4" numFmtId="2" xfId="0" applyFont="1" applyNumberFormat="1"/>
    <xf borderId="11" fillId="0" fontId="4" numFmtId="2" xfId="0" applyBorder="1" applyFont="1" applyNumberFormat="1"/>
    <xf borderId="0" fillId="0" fontId="4" numFmtId="2" xfId="0" applyAlignment="1" applyFont="1" applyNumberFormat="1">
      <alignment readingOrder="0"/>
    </xf>
    <xf borderId="4" fillId="0" fontId="4" numFmtId="0" xfId="0" applyBorder="1" applyFont="1"/>
    <xf borderId="5" fillId="0" fontId="4" numFmtId="2" xfId="0" applyBorder="1" applyFont="1" applyNumberFormat="1"/>
    <xf borderId="6" fillId="0" fontId="4" numFmtId="2" xfId="0" applyBorder="1" applyFont="1" applyNumberFormat="1"/>
    <xf borderId="0" fillId="0" fontId="5" numFmtId="0" xfId="0" applyAlignment="1" applyFont="1">
      <alignment horizontal="righ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Access to water 2020</a:t>
            </a:r>
          </a:p>
        </c:rich>
      </c:tx>
      <c:overlay val="0"/>
    </c:title>
    <c:plotArea>
      <c:layout/>
      <c:stockChart>
        <c:ser>
          <c:idx val="0"/>
          <c:order val="0"/>
          <c:tx>
            <c:strRef>
              <c:f>' Report'!$J$4</c:f>
            </c:strRef>
          </c:tx>
          <c:spPr>
            <a:ln cmpd="sng">
              <a:noFill/>
            </a:ln>
          </c:spPr>
          <c:marker>
            <c:symbol val="none"/>
          </c:marker>
          <c:cat>
            <c:strRef>
              <c:f>' Report'!$H$5:$H$16</c:f>
            </c:strRef>
          </c:cat>
          <c:val>
            <c:numRef>
              <c:f>' Report'!$J$5:$J$16</c:f>
              <c:numCache/>
            </c:numRef>
          </c:val>
          <c:smooth val="0"/>
        </c:ser>
        <c:ser>
          <c:idx val="1"/>
          <c:order val="1"/>
          <c:tx>
            <c:strRef>
              <c:f>' Report'!$L$4</c:f>
            </c:strRef>
          </c:tx>
          <c:spPr>
            <a:ln cmpd="sng">
              <a:noFill/>
            </a:ln>
          </c:spPr>
          <c:marker>
            <c:symbol val="none"/>
          </c:marker>
          <c:cat>
            <c:strRef>
              <c:f>' Report'!$H$5:$H$16</c:f>
            </c:strRef>
          </c:cat>
          <c:val>
            <c:numRef>
              <c:f>' Report'!$L$5:$L$16</c:f>
              <c:numCache/>
            </c:numRef>
          </c:val>
          <c:smooth val="0"/>
        </c:ser>
        <c:ser>
          <c:idx val="2"/>
          <c:order val="2"/>
          <c:tx>
            <c:strRef>
              <c:f>' Report'!$I$4</c:f>
            </c:strRef>
          </c:tx>
          <c:spPr>
            <a:ln cmpd="sng">
              <a:noFill/>
            </a:ln>
          </c:spPr>
          <c:marker>
            <c:symbol val="none"/>
          </c:marker>
          <c:cat>
            <c:strRef>
              <c:f>' Report'!$H$5:$H$16</c:f>
            </c:strRef>
          </c:cat>
          <c:val>
            <c:numRef>
              <c:f>' Report'!$I$5:$I$16</c:f>
              <c:numCache/>
            </c:numRef>
          </c:val>
          <c:smooth val="0"/>
        </c:ser>
        <c:ser>
          <c:idx val="3"/>
          <c:order val="3"/>
          <c:tx>
            <c:strRef>
              <c:f>' Report'!$K$4</c:f>
            </c:strRef>
          </c:tx>
          <c:spPr>
            <a:ln cmpd="sng">
              <a:noFill/>
            </a:ln>
          </c:spPr>
          <c:marker>
            <c:symbol val="none"/>
          </c:marker>
          <c:cat>
            <c:strRef>
              <c:f>' Report'!$H$5:$H$16</c:f>
            </c:strRef>
          </c:cat>
          <c:val>
            <c:numRef>
              <c:f>' Report'!$K$5:$K$16</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70319548"/>
        <c:axId val="1065990751"/>
      </c:stockChart>
      <c:dateAx>
        <c:axId val="170319548"/>
        <c:scaling>
          <c:orientation val="minMax"/>
        </c:scaling>
        <c:axPos val="b"/>
        <c:title>
          <c:tx>
            <c:rich>
              <a:bodyPr/>
              <a:lstStyle/>
              <a:p>
                <a:pPr lvl="0">
                  <a:defRPr b="0">
                    <a:solidFill>
                      <a:srgbClr val="000000"/>
                    </a:solidFill>
                    <a:latin typeface="+mn-lt"/>
                  </a:defRPr>
                </a:pPr>
                <a:r>
                  <a:rPr b="0">
                    <a:solidFill>
                      <a:srgbClr val="000000"/>
                    </a:solidFill>
                    <a:latin typeface="+mn-lt"/>
                  </a:rPr>
                  <a:t>Region (n-national) (r-rural) (u-urban)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65990751"/>
      </c:dateAx>
      <c:valAx>
        <c:axId val="10659907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 share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31954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Water Access by Income Group</a:t>
            </a:r>
          </a:p>
        </c:rich>
      </c:tx>
      <c:overlay val="0"/>
    </c:title>
    <c:plotArea>
      <c:layout/>
      <c:barChart>
        <c:barDir val="col"/>
        <c:grouping val="stacked"/>
        <c:ser>
          <c:idx val="0"/>
          <c:order val="0"/>
          <c:tx>
            <c:strRef>
              <c:f>'Pivot Table 1'!$D$2</c:f>
            </c:strRef>
          </c:tx>
          <c:spPr>
            <a:solidFill>
              <a:schemeClr val="accent1"/>
            </a:solidFill>
            <a:ln cmpd="sng">
              <a:noFill/>
            </a:ln>
          </c:spPr>
          <c:cat>
            <c:strRef>
              <c:f>'Pivot Table 1'!$A$3:$A$1001</c:f>
            </c:strRef>
          </c:cat>
          <c:val>
            <c:numRef>
              <c:f>'Pivot Table 1'!$D$3:$D$1001</c:f>
              <c:numCache/>
            </c:numRef>
          </c:val>
        </c:ser>
        <c:ser>
          <c:idx val="1"/>
          <c:order val="1"/>
          <c:tx>
            <c:strRef>
              <c:f>'Pivot Table 1'!$E$2</c:f>
            </c:strRef>
          </c:tx>
          <c:spPr>
            <a:solidFill>
              <a:schemeClr val="accent2"/>
            </a:solidFill>
            <a:ln cmpd="sng">
              <a:noFill/>
            </a:ln>
          </c:spPr>
          <c:cat>
            <c:strRef>
              <c:f>'Pivot Table 1'!$A$3:$A$1001</c:f>
            </c:strRef>
          </c:cat>
          <c:val>
            <c:numRef>
              <c:f>'Pivot Table 1'!$E$3:$E$1001</c:f>
              <c:numCache/>
            </c:numRef>
          </c:val>
        </c:ser>
        <c:ser>
          <c:idx val="2"/>
          <c:order val="2"/>
          <c:tx>
            <c:strRef>
              <c:f>'Pivot Table 1'!$F$2</c:f>
            </c:strRef>
          </c:tx>
          <c:spPr>
            <a:solidFill>
              <a:schemeClr val="accent3"/>
            </a:solidFill>
            <a:ln cmpd="sng">
              <a:noFill/>
            </a:ln>
          </c:spPr>
          <c:cat>
            <c:strRef>
              <c:f>'Pivot Table 1'!$A$3:$A$1001</c:f>
            </c:strRef>
          </c:cat>
          <c:val>
            <c:numRef>
              <c:f>'Pivot Table 1'!$F$3:$F$1001</c:f>
              <c:numCache/>
            </c:numRef>
          </c:val>
        </c:ser>
        <c:ser>
          <c:idx val="3"/>
          <c:order val="3"/>
          <c:tx>
            <c:strRef>
              <c:f>'Pivot Table 1'!$G$2</c:f>
            </c:strRef>
          </c:tx>
          <c:spPr>
            <a:solidFill>
              <a:schemeClr val="accent4"/>
            </a:solidFill>
            <a:ln cmpd="sng">
              <a:noFill/>
            </a:ln>
          </c:spPr>
          <c:cat>
            <c:strRef>
              <c:f>'Pivot Table 1'!$A$3:$A$1001</c:f>
            </c:strRef>
          </c:cat>
          <c:val>
            <c:numRef>
              <c:f>'Pivot Table 1'!$G$3:$G$1001</c:f>
              <c:numCache/>
            </c:numRef>
          </c:val>
        </c:ser>
        <c:overlap val="100"/>
        <c:axId val="1501741585"/>
        <c:axId val="1190045733"/>
      </c:barChart>
      <c:catAx>
        <c:axId val="15017415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Group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90045733"/>
      </c:catAx>
      <c:valAx>
        <c:axId val="1190045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water access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174158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image" Target="../media/Chart4.png"/><Relationship Id="rId4" Type="http://schemas.openxmlformats.org/officeDocument/2006/relationships/image" Target="../media/Chart5.png"/><Relationship Id="rId5" Type="http://schemas.openxmlformats.org/officeDocument/2006/relationships/image" Target="../media/Chart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10</xdr:row>
      <xdr:rowOff>19050</xdr:rowOff>
    </xdr:from>
    <xdr:ext cx="5715000" cy="3533775"/>
    <xdr:pic>
      <xdr:nvPicPr>
        <xdr:cNvPr id="134129544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17</xdr:row>
      <xdr:rowOff>28575</xdr:rowOff>
    </xdr:from>
    <xdr:ext cx="5934075"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9525</xdr:colOff>
      <xdr:row>4</xdr:row>
      <xdr:rowOff>9525</xdr:rowOff>
    </xdr:from>
    <xdr:ext cx="5715000" cy="3533775"/>
    <xdr:pic>
      <xdr:nvPicPr>
        <xdr:cNvPr id="333884710" name="Chart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9525</xdr:colOff>
      <xdr:row>23</xdr:row>
      <xdr:rowOff>9525</xdr:rowOff>
    </xdr:from>
    <xdr:ext cx="5715000" cy="3533775"/>
    <xdr:pic>
      <xdr:nvPicPr>
        <xdr:cNvPr id="2046143695" name="Chart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9525</xdr:colOff>
      <xdr:row>43</xdr:row>
      <xdr:rowOff>9525</xdr:rowOff>
    </xdr:from>
    <xdr:ext cx="5715000" cy="3533775"/>
    <xdr:pic>
      <xdr:nvPicPr>
        <xdr:cNvPr id="1036051574" name="Chart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733425</xdr:colOff>
      <xdr:row>11</xdr:row>
      <xdr:rowOff>123825</xdr:rowOff>
    </xdr:from>
    <xdr:ext cx="9220200" cy="4191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1000" sheet="Data_Estimates-on-the-use-of-wa"/>
  </cacheSource>
  <cacheFields>
    <cacheField name="pop_n" numFmtId="0">
      <sharedItems containsString="0" containsBlank="1" containsNumber="1">
        <n v="9.885"/>
        <n v="10.83399963"/>
        <n v="33.69100189"/>
        <n v="38.659"/>
        <n v="39.24399948"/>
        <n v="62.27299881"/>
        <n v="649.34198"/>
        <n v="895.3079834"/>
        <n v="400.1270142"/>
        <n v="33.93799973"/>
        <n v="104.4229965"/>
        <n v="168.7830048"/>
        <n v="441.5390015"/>
        <n v="341.25"/>
        <n v="57.55699921"/>
        <n v="625.9760132"/>
        <n v="5.795000076"/>
        <n v="59.19400024"/>
        <n v="375.2650146"/>
        <n v="77.26499939"/>
        <n v="55.1969986"/>
        <n v="56.77199936"/>
        <n v="298.6820068"/>
        <n v="18.09199905"/>
        <n v="3.48300004"/>
        <n v="437.4830017"/>
        <n v="988.0020142"/>
        <n v="17.56399918"/>
        <n v="219.1609955"/>
        <n v="285.4909973"/>
        <n v="555.9879761"/>
        <n v="628.0620117"/>
        <n v="586.6339722"/>
        <n v="11.79199982"/>
        <n v="280.9039917"/>
        <n v="896.4439697"/>
        <n v="119.4459991"/>
        <n v="85.03199768"/>
        <n v="30.23699951"/>
        <n v="1.618000031"/>
        <n v="272.8129883"/>
        <n v="397.6210022"/>
        <n v="48.86500168"/>
        <n v="771.6119995"/>
        <n v="540.5419922"/>
        <n v="6.071000099"/>
        <n v="287.3710022"/>
        <n v="786.559021"/>
        <n v="307.1499939"/>
        <n v="686.8779907"/>
        <n v="105.6969986"/>
        <n v="183.6289978"/>
        <n v="198.4100037"/>
        <n v="38.13700104"/>
        <n v="4.999000072"/>
        <n v="1.350000024"/>
        <n v="11.24600029"/>
        <n v="1701.583008"/>
        <n v="1326.53894"/>
        <n v="1886.202026"/>
        <n v="1207.360962"/>
        <n v="1399.490967"/>
        <n v="1967.998047"/>
        <n v="1271.766968"/>
        <n v="1318.442017"/>
        <n v="1160.16394"/>
        <n v="2881.060059"/>
        <n v="2860.840088"/>
        <n v="2225.728027"/>
        <n v="2351.625"/>
        <n v="2722.291016"/>
        <n v="2416.664063"/>
        <n v="2963.233887"/>
        <n v="2877.800049"/>
        <n v="2083.379883"/>
        <n v="2961.160889"/>
        <n v="2078.931885"/>
        <n v="2540.916016"/>
        <n v="2142.251953"/>
        <n v="3473.727051"/>
        <n v="3278.291992"/>
        <n v="3989.175049"/>
        <n v="3280.814941"/>
        <n v="4270.562988"/>
        <n v="4822.23291"/>
        <n v="4314.768066"/>
        <n v="4937.795898"/>
        <n v="4105.268066"/>
        <n v="4649.660156"/>
        <n v="4033.962891"/>
        <n v="4829.76416"/>
        <n v="5850.342773"/>
        <n v="5792.203125"/>
        <n v="5106.62207"/>
        <n v="5540.717773"/>
        <n v="5421.242188"/>
        <n v="5094.11377"/>
        <n v="5101.416016"/>
        <n v="5518.091797"/>
        <n v="5459.643066"/>
        <n v="5057.676758"/>
        <n v="6825.441895"/>
        <n v="6871.287109"/>
        <n v="6948.444824"/>
        <n v="6486.201172"/>
        <n v="6624.554199"/>
        <n v="6031.187012"/>
        <n v="6524.190918"/>
        <n v="7496.987793"/>
        <n v="7132.529785"/>
        <n v="7976.984863"/>
        <n v="7275.556152"/>
        <n v="8655.541016"/>
        <n v="8654.618164"/>
        <n v="8737.370117"/>
        <n v="8278.737305"/>
        <n v="8947.027344"/>
        <n v="9890.400391"/>
        <n v="9449.321289"/>
        <n v="9660.349609"/>
        <n v="9006.400391"/>
        <n v="9904.608398"/>
        <n v="9537.641602"/>
        <n v="10203.13965"/>
        <n v="10099.26953"/>
        <n v="10847.9043"/>
        <n v="10423.05566"/>
        <n v="10708.98242"/>
        <n v="10196.70703"/>
        <n v="10139.1748"/>
        <n v="11589.61621"/>
        <n v="11326.61621"/>
        <n v="11673.0293"/>
        <n v="11818.61816"/>
        <n v="11402.5332"/>
        <n v="11193.72852"/>
        <n v="11890.78125"/>
        <n v="12123.19824"/>
        <n v="12952.20898"/>
        <n v="13132.79199"/>
        <n v="14862.92676"/>
        <n v="15893.21875"/>
        <n v="16743.92969"/>
        <n v="16425.85938"/>
        <n v="16718.9707"/>
        <n v="17134.87305"/>
        <n v="17643.06055"/>
        <n v="17500.65625"/>
        <n v="17915.56641"/>
        <n v="18776.70703"/>
        <n v="18383.95508"/>
        <n v="19116.20898"/>
        <n v="19237.68164"/>
        <n v="19129.95508"/>
        <n v="20250.83398"/>
        <n v="20903.27734"/>
        <n v="21413.25"/>
        <n v="24206.63672"/>
        <n v="25499.88086"/>
        <n v="25778.81445"/>
        <n v="26545.86328"/>
        <n v="26378.27539"/>
        <n v="27691.01953"/>
        <n v="28435.94336"/>
        <n v="29825.96875"/>
        <n v="29136.80859"/>
        <n v="31072.94531"/>
        <n v="31255.43555"/>
        <n v="32971.84766"/>
        <n v="32365.99805"/>
        <n v="32866.26953"/>
        <n v="33469.19922"/>
        <n v="34813.86719"/>
        <n v="36910.55859"/>
        <n v="37742.15625"/>
        <n v="37846.60547"/>
        <n v="38928.33984"/>
        <n v="40222.50391"/>
        <n v="43851.04297"/>
        <n v="43733.75781"/>
        <n v="43849.26953"/>
        <n v="45195.77734"/>
        <n v="45741.0"/>
        <n v="46754.78125"/>
        <n v="50882.88281"/>
        <n v="51269.18359"/>
        <n v="53771.30078"/>
        <n v="54409.79297"/>
        <n v="59308.69141"/>
        <n v="59734.21484"/>
        <n v="60461.82813"/>
        <n v="65273.51172"/>
        <n v="67886.00781"/>
        <n v="69799.97656"/>
        <n v="83783.94531"/>
        <n v="83992.95313"/>
        <n v="84339.07031"/>
        <n v="89561.40625"/>
        <n v="97338.58594"/>
        <n v="102334.4063"/>
        <n v="109581.0859"/>
        <n v="114963.5859"/>
        <n v="126476.4609"/>
        <n v="128932.75"/>
        <n v="145934.4531"/>
        <n v="164689.3906"/>
        <n v="206139.5938"/>
        <n v="212559.4063"/>
        <n v="220892.3281"/>
        <n v="273523.625"/>
        <n v="331002.6563"/>
        <n v="1380004.375"/>
        <n v="1463140.5"/>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1:G1000" sheet="Data_Estimates-on-the-use-of-wa"/>
  </cacheSource>
  <cacheFields>
    <cacheField name="pop_u_val" numFmtId="0">
      <sharedItems containsString="0" containsBlank="1" containsNumber="1">
        <n v="9.885"/>
        <n v="10.83399963"/>
        <n v="33.69100189"/>
        <n v="38.659"/>
        <n v="39.24399948"/>
        <n v="62.27299881"/>
        <n v="649.34198"/>
        <n v="892.2550208690722"/>
        <n v="394.12107938786545"/>
        <n v="33.0892105434117"/>
        <n v="100.1823817343826"/>
        <n v="160.23921507194234"/>
        <n v="418.33172615194707"/>
        <n v="320.42690793749995"/>
        <n v="52.836172131812226"/>
        <n v="572.4738139309234"/>
        <n v="5.213297851891618"/>
        <n v="52.429337701914115"/>
        <n v="334.5112317253234"/>
        <n v="67.9282971495929"/>
        <n v="48.1058401236216"/>
        <n v="49.551739495988365"/>
        <n v="256.3288973098458"/>
        <n v="14.652348002457208"/>
        <n v="2.7344335184994977"/>
        <n v="342.330482210203"/>
        <n v="771.2540973495327"/>
        <n v="13.259941663950977"/>
        <n v="162.95497516326492"/>
        <n v="204.17744499691744"/>
        <n v="370.5771082209203"/>
        <n v="423.8665318453825"/>
        <n v="388.05251847256466"/>
        <n v="7.5485307576996"/>
        <n v="174.09025528877643"/>
        <n v="513.1873282799997"/>
        <n v="66.40480630295562"/>
        <n v="44.980228360604734"/>
        <n v="14.669480127830804"/>
        <n v="0.7475484306290211"/>
        <n v="124.81466877666156"/>
        <n v="183.00507234615134"/>
        <n v="20.717782830792878"/>
        <n v="326.5153188934696"/>
        <n v="219.83301588888048"/>
        <n v="2.4333783039994805"/>
        <n v="89.6338892387278"/>
        <n v="210.68769385914686"/>
        <n v="78.40004064236992"/>
        <n v="169.4528008551924"/>
        <n v="24.414948670783414"/>
        <n v="34.59753874098201"/>
        <n v="35.49356544284701"/>
        <n v="5.497830211033304"/>
        <n v="0.4556588451150899"/>
        <n v="0.0"/>
        <n v="1523.0189608190242"/>
        <n v="918.3496946402724"/>
        <n v="1288.5589600852295"/>
        <n v="806.7706581554519"/>
        <n v="744.7251329758167"/>
        <n v="869.7764001241366"/>
        <n v="518.3721947911149"/>
        <n v="412.9360356372298"/>
        <n v="280.4232425277443"/>
        <n v="2859.019967123116"/>
        <n v="2677.202799370033"/>
        <n v="2005.2029579632344"/>
        <n v="1666.761225382125"/>
        <n v="1852.410079956834"/>
        <n v="1512.396629473407"/>
        <n v="1876.1122628755784"/>
        <n v="1787.4591523336596"/>
        <n v="1218.4021906753337"/>
        <n v="1667.4593324863094"/>
        <n v="1145.8657564131775"/>
        <n v="1322.114854743982"/>
        <n v="621.8528943461376"/>
        <n v="3317.9303715729147"/>
        <n v="2250.7768568910656"/>
        <n v="2371.684054390743"/>
        <n v="1608.2554991699487"/>
        <n v="4270.562988"/>
        <n v="4180.827590085078"/>
        <n v="2951.9054876688533"/>
        <n v="3143.0552170285855"/>
        <n v="2362.7048310880195"/>
        <n v="2572.5172815492238"/>
        <n v="1728.512873729136"/>
        <n v="2038.0637860563988"/>
        <n v="5850.342773"/>
        <n v="5103.857991759834"/>
        <n v="4405.788917522832"/>
        <n v="4738.255945946902"/>
        <n v="4498.221026302167"/>
        <n v="4114.566433986852"/>
        <n v="3913.7550543720617"/>
        <n v="3742.866616317715"/>
        <n v="2935.1040205595964"/>
        <n v="2634.493089180872"/>
        <n v="6069.523892523511"/>
        <n v="5544.510410990516"/>
        <n v="5258.999741734139"/>
        <n v="4763.725604330562"/>
        <n v="3909.281992809244"/>
        <n v="3167.338331651494"/>
        <n v="2404.5557388437524"/>
        <n v="7496.987793"/>
        <n v="4435.220628168013"/>
        <n v="3423.9612398672384"/>
        <n v="2640.2993944959167"/>
        <n v="8013.905586507544"/>
        <n v="6397.061095543087"/>
        <n v="4931.895861974174"/>
        <n v="3543.2995036215966"/>
        <n v="1193.9808232137736"/>
        <n v="8609.395388171744"/>
        <n v="7510.604201719264"/>
        <n v="6949.848845155466"/>
        <n v="5291.080200775084"/>
        <n v="5780.230151526238"/>
        <n v="2623.4235664729017"/>
        <n v="9327.50613075408"/>
        <n v="8885.034089807237"/>
        <n v="8953.86030902072"/>
        <n v="8308.73923316431"/>
        <n v="7931.1799669729835"/>
        <n v="6761.436182793348"/>
        <n v="5718.190733367841"/>
        <n v="11366.97907415105"/>
        <n v="8743.468144331278"/>
        <n v="8185.478464442322"/>
        <n v="8221.976374915883"/>
        <n v="6509.47786131115"/>
        <n v="2261.021156592429"/>
        <n v="1629.9883151534063"/>
        <n v="5869.446076323251"/>
        <n v="2257.8292131631197"/>
        <n v="4842.7170463125"/>
        <n v="4792.104932164176"/>
        <n v="7333.289879076163"/>
        <n v="8057.51412169664"/>
        <n v="3863.3622017349535"/>
        <n v="4051.3410385403977"/>
        <n v="15804.52151667892"/>
        <n v="11320.846297792325"/>
        <n v="9708.489455452527"/>
        <n v="9286.712742720329"/>
        <n v="10828.714979778211"/>
        <n v="8204.574908206188"/>
        <n v="16770.076151039924"/>
        <n v="10425.669234152037"/>
        <n v="3333.7772813565775"/>
        <n v="8891.93954483831"/>
        <n v="6397.866168615271"/>
        <n v="4007.06133117255"/>
        <n v="4024.5952879306974"/>
        <n v="21991.351566525806"/>
        <n v="16081.082376104336"/>
        <n v="15279.800281698304"/>
        <n v="13639.150405783032"/>
        <n v="10670.457576454277"/>
        <n v="25102.966248253582"/>
        <n v="11306.427377744696"/>
        <n v="5995.189796665698"/>
        <n v="17820.023101317038"/>
        <n v="11587.63939442111"/>
        <n v="25815.96911202704"/>
        <n v="24973.602810449876"/>
        <n v="21962.883611001278"/>
        <n v="16873.83032406783"/>
        <n v="29343.5651296703"/>
        <n v="23450.015227073844"/>
        <n v="30783.259024279192"/>
        <n v="22724.23848802755"/>
        <n v="10131.48936472484"/>
        <n v="28514.93878788771"/>
        <n v="32332.690262922937"/>
        <n v="30442.19488423206"/>
        <n v="15458.18226389795"/>
        <n v="41630.28249276486"/>
        <n v="11414.2093549827"/>
        <n v="37782.53758730834"/>
        <n v="41431.384997606474"/>
        <n v="41740.29387649268"/>
        <n v="15053.275078008082"/>
        <n v="16943.754036861148"/>
        <n v="39946.77833126124"/>
        <n v="21042.572572523957"/>
        <n v="42951.474360822096"/>
        <n v="52855.22511658527"/>
        <n v="56958.397051361084"/>
        <n v="35898.128161187924"/>
        <n v="64893.18161582389"/>
        <n v="63728.813719817445"/>
        <n v="64186.25229321826"/>
        <n v="40874.03502322589"/>
        <n v="36346.22813600388"/>
        <n v="43781.73001950586"/>
        <n v="51950.19805849483"/>
        <n v="24941.349604617884"/>
        <n v="116082.62240898411"/>
        <n v="104088.69218794144"/>
        <n v="109091.84899461482"/>
        <n v="62873.47186080512"/>
        <n v="107106.01051765526"/>
        <n v="185081.84770269057"/>
        <n v="82094.63577057442"/>
        <n v="154926.51326337596"/>
        <n v="273620.0406364707"/>
        <n v="481980.3625126094"/>
        <n v="902949.19881373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 2" cacheId="0" dataCaption="" compact="0" compactData="0">
  <location ref="X2:X3" firstHeaderRow="0" firstDataRow="0" firstDataCol="0"/>
  <pivotFields>
    <pivotField name="pop_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s>
  <dataFields>
    <dataField name="SUM of pop_n" fld="0" baseField="0"/>
  </dataFields>
</pivotTableDefinition>
</file>

<file path=xl/pivotTables/pivotTable2.xml><?xml version="1.0" encoding="utf-8"?>
<pivotTableDefinition xmlns="http://schemas.openxmlformats.org/spreadsheetml/2006/main" name="Pivot Table 1 3" cacheId="1" dataCaption="" compact="0" compactData="0">
  <location ref="Y2:Y3" firstHeaderRow="0" firstDataRow="0" firstDataCol="0"/>
  <pivotFields>
    <pivotField name="pop_u_v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s>
  <dataFields>
    <dataField name="SUM of pop_u_val" fld="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09.38"/>
  </cols>
  <sheetData>
    <row r="1">
      <c r="A1" s="2" t="s">
        <v>0</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2" t="s">
        <v>23</v>
      </c>
      <c r="B3" s="3"/>
      <c r="C3" s="3"/>
      <c r="D3" s="3"/>
      <c r="E3" s="3"/>
      <c r="F3" s="3"/>
      <c r="G3" s="3"/>
      <c r="H3" s="3"/>
      <c r="I3" s="3"/>
      <c r="J3" s="3"/>
      <c r="K3" s="3"/>
      <c r="L3" s="3"/>
      <c r="M3" s="3"/>
      <c r="N3" s="3"/>
      <c r="O3" s="3"/>
      <c r="P3" s="3"/>
      <c r="Q3" s="3"/>
      <c r="R3" s="3"/>
      <c r="S3" s="3"/>
      <c r="T3" s="3"/>
      <c r="U3" s="3"/>
      <c r="V3" s="3"/>
      <c r="W3" s="3"/>
      <c r="X3" s="3"/>
      <c r="Y3" s="3"/>
      <c r="Z3" s="3"/>
    </row>
    <row r="4">
      <c r="A4" s="6" t="s">
        <v>26</v>
      </c>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2" t="s">
        <v>27</v>
      </c>
      <c r="B6" s="3"/>
      <c r="C6" s="3"/>
      <c r="D6" s="3"/>
      <c r="E6" s="3"/>
      <c r="F6" s="3"/>
      <c r="G6" s="3"/>
      <c r="H6" s="3"/>
      <c r="I6" s="3"/>
      <c r="J6" s="3"/>
      <c r="K6" s="3"/>
      <c r="L6" s="3"/>
      <c r="M6" s="3"/>
      <c r="N6" s="3"/>
      <c r="O6" s="3"/>
      <c r="P6" s="3"/>
      <c r="Q6" s="3"/>
      <c r="R6" s="3"/>
      <c r="S6" s="3"/>
      <c r="T6" s="3"/>
      <c r="U6" s="3"/>
      <c r="V6" s="3"/>
      <c r="W6" s="3"/>
      <c r="X6" s="3"/>
      <c r="Y6" s="3"/>
      <c r="Z6" s="3"/>
    </row>
    <row r="7">
      <c r="A7" s="6" t="s">
        <v>28</v>
      </c>
      <c r="B7" s="6" t="s">
        <v>29</v>
      </c>
      <c r="C7" s="3"/>
      <c r="D7" s="3"/>
      <c r="E7" s="3"/>
      <c r="F7" s="3"/>
      <c r="G7" s="3"/>
      <c r="H7" s="3"/>
      <c r="I7" s="3"/>
      <c r="J7" s="3"/>
      <c r="K7" s="3"/>
      <c r="L7" s="3"/>
      <c r="M7" s="3"/>
      <c r="N7" s="3"/>
      <c r="O7" s="3"/>
      <c r="P7" s="3"/>
      <c r="Q7" s="3"/>
      <c r="R7" s="3"/>
      <c r="S7" s="3"/>
      <c r="T7" s="3"/>
      <c r="U7" s="3"/>
      <c r="V7" s="3"/>
      <c r="W7" s="3"/>
      <c r="X7" s="3"/>
      <c r="Y7" s="3"/>
      <c r="Z7" s="3"/>
    </row>
    <row r="8">
      <c r="A8" s="6" t="s">
        <v>1</v>
      </c>
      <c r="B8" s="6" t="s">
        <v>30</v>
      </c>
      <c r="C8" s="3"/>
      <c r="D8" s="3"/>
      <c r="E8" s="3"/>
      <c r="F8" s="3"/>
      <c r="G8" s="3"/>
      <c r="H8" s="3"/>
      <c r="I8" s="3"/>
      <c r="J8" s="3"/>
      <c r="K8" s="3"/>
      <c r="L8" s="3"/>
      <c r="M8" s="3"/>
      <c r="N8" s="3"/>
      <c r="O8" s="3"/>
      <c r="P8" s="3"/>
      <c r="Q8" s="3"/>
      <c r="R8" s="3"/>
      <c r="S8" s="3"/>
      <c r="T8" s="3"/>
      <c r="U8" s="3"/>
      <c r="V8" s="3"/>
      <c r="W8" s="3"/>
      <c r="X8" s="3"/>
      <c r="Y8" s="3"/>
      <c r="Z8" s="3"/>
    </row>
    <row r="9">
      <c r="A9" s="6" t="s">
        <v>2</v>
      </c>
      <c r="B9" s="6" t="s">
        <v>31</v>
      </c>
      <c r="C9" s="3"/>
      <c r="D9" s="3"/>
      <c r="E9" s="3"/>
      <c r="F9" s="3"/>
      <c r="G9" s="3"/>
      <c r="H9" s="3"/>
      <c r="I9" s="3"/>
      <c r="J9" s="3"/>
      <c r="K9" s="3"/>
      <c r="L9" s="3"/>
      <c r="M9" s="3"/>
      <c r="N9" s="3"/>
      <c r="O9" s="3"/>
      <c r="P9" s="3"/>
      <c r="Q9" s="3"/>
      <c r="R9" s="3"/>
      <c r="S9" s="3"/>
      <c r="T9" s="3"/>
      <c r="U9" s="3"/>
      <c r="V9" s="3"/>
      <c r="W9" s="3"/>
      <c r="X9" s="3"/>
      <c r="Y9" s="3"/>
      <c r="Z9" s="3"/>
    </row>
    <row r="10">
      <c r="A10" s="6" t="s">
        <v>4</v>
      </c>
      <c r="B10" s="6" t="s">
        <v>32</v>
      </c>
      <c r="C10" s="3"/>
      <c r="D10" s="3"/>
      <c r="E10" s="3"/>
      <c r="F10" s="3"/>
      <c r="G10" s="3"/>
      <c r="H10" s="3"/>
      <c r="I10" s="3"/>
      <c r="J10" s="3"/>
      <c r="K10" s="3"/>
      <c r="L10" s="3"/>
      <c r="M10" s="3"/>
      <c r="N10" s="3"/>
      <c r="O10" s="3"/>
      <c r="P10" s="3"/>
      <c r="Q10" s="3"/>
      <c r="R10" s="3"/>
      <c r="S10" s="3"/>
      <c r="T10" s="3"/>
      <c r="U10" s="3"/>
      <c r="V10" s="3"/>
      <c r="W10" s="3"/>
      <c r="X10" s="3"/>
      <c r="Y10" s="3"/>
      <c r="Z10" s="3"/>
    </row>
    <row r="11">
      <c r="A11" s="6" t="s">
        <v>7</v>
      </c>
      <c r="B11" s="6" t="s">
        <v>33</v>
      </c>
      <c r="C11" s="3"/>
      <c r="D11" s="3"/>
      <c r="E11" s="3"/>
      <c r="F11" s="3"/>
      <c r="G11" s="3"/>
      <c r="H11" s="3"/>
      <c r="I11" s="3"/>
      <c r="J11" s="3"/>
      <c r="K11" s="3"/>
      <c r="L11" s="3"/>
      <c r="M11" s="3"/>
      <c r="N11" s="3"/>
      <c r="O11" s="3"/>
      <c r="P11" s="3"/>
      <c r="Q11" s="3"/>
      <c r="R11" s="3"/>
      <c r="S11" s="3"/>
      <c r="T11" s="3"/>
      <c r="U11" s="3"/>
      <c r="V11" s="3"/>
      <c r="W11" s="3"/>
      <c r="X11" s="3"/>
      <c r="Y11" s="3"/>
      <c r="Z11" s="3"/>
    </row>
    <row r="12">
      <c r="A12" s="6" t="s">
        <v>11</v>
      </c>
      <c r="B12" s="6" t="s">
        <v>34</v>
      </c>
      <c r="C12" s="3"/>
      <c r="D12" s="3"/>
      <c r="E12" s="3"/>
      <c r="F12" s="3"/>
      <c r="G12" s="3"/>
      <c r="H12" s="3"/>
      <c r="I12" s="3"/>
      <c r="J12" s="3"/>
      <c r="K12" s="3"/>
      <c r="L12" s="3"/>
      <c r="M12" s="3"/>
      <c r="N12" s="3"/>
      <c r="O12" s="3"/>
      <c r="P12" s="3"/>
      <c r="Q12" s="3"/>
      <c r="R12" s="3"/>
      <c r="S12" s="3"/>
      <c r="T12" s="3"/>
      <c r="U12" s="3"/>
      <c r="V12" s="3"/>
      <c r="W12" s="3"/>
      <c r="X12" s="3"/>
      <c r="Y12" s="3"/>
      <c r="Z12" s="3"/>
    </row>
    <row r="13">
      <c r="A13" s="6" t="s">
        <v>19</v>
      </c>
      <c r="B13" s="6" t="s">
        <v>35</v>
      </c>
      <c r="C13" s="3"/>
      <c r="D13" s="3"/>
      <c r="E13" s="3"/>
      <c r="F13" s="3"/>
      <c r="G13" s="3"/>
      <c r="H13" s="3"/>
      <c r="I13" s="3"/>
      <c r="J13" s="3"/>
      <c r="K13" s="3"/>
      <c r="L13" s="3"/>
      <c r="M13" s="3"/>
      <c r="N13" s="3"/>
      <c r="O13" s="3"/>
      <c r="P13" s="3"/>
      <c r="Q13" s="3"/>
      <c r="R13" s="3"/>
      <c r="S13" s="3"/>
      <c r="T13" s="3"/>
      <c r="U13" s="3"/>
      <c r="V13" s="3"/>
      <c r="W13" s="3"/>
      <c r="X13" s="3"/>
      <c r="Y13" s="3"/>
      <c r="Z13" s="3"/>
    </row>
    <row r="14">
      <c r="A14" s="6" t="s">
        <v>15</v>
      </c>
      <c r="B14" s="6" t="s">
        <v>36</v>
      </c>
      <c r="C14" s="3"/>
      <c r="D14" s="3"/>
      <c r="E14" s="3"/>
      <c r="F14" s="3"/>
      <c r="G14" s="3"/>
      <c r="H14" s="3"/>
      <c r="I14" s="3"/>
      <c r="J14" s="3"/>
      <c r="K14" s="3"/>
      <c r="L14" s="3"/>
      <c r="M14" s="3"/>
      <c r="N14" s="3"/>
      <c r="O14" s="3"/>
      <c r="P14" s="3"/>
      <c r="Q14" s="3"/>
      <c r="R14" s="3"/>
      <c r="S14" s="3"/>
      <c r="T14" s="3"/>
      <c r="U14" s="3"/>
      <c r="V14" s="3"/>
      <c r="W14" s="3"/>
      <c r="X14" s="3"/>
      <c r="Y14" s="3"/>
      <c r="Z14" s="3"/>
    </row>
    <row r="15">
      <c r="A15" s="6" t="s">
        <v>12</v>
      </c>
      <c r="B15" s="6" t="s">
        <v>37</v>
      </c>
      <c r="C15" s="3"/>
      <c r="D15" s="3"/>
      <c r="E15" s="3"/>
      <c r="F15" s="3"/>
      <c r="G15" s="3"/>
      <c r="H15" s="3"/>
      <c r="I15" s="3"/>
      <c r="J15" s="3"/>
      <c r="K15" s="3"/>
      <c r="L15" s="3"/>
      <c r="M15" s="3"/>
      <c r="N15" s="3"/>
      <c r="O15" s="3"/>
      <c r="P15" s="3"/>
      <c r="Q15" s="3"/>
      <c r="R15" s="3"/>
      <c r="S15" s="3"/>
      <c r="T15" s="3"/>
      <c r="U15" s="3"/>
      <c r="V15" s="3"/>
      <c r="W15" s="3"/>
      <c r="X15" s="3"/>
      <c r="Y15" s="3"/>
      <c r="Z15" s="3"/>
    </row>
    <row r="16">
      <c r="A16" s="6" t="s">
        <v>20</v>
      </c>
      <c r="B16" s="6" t="s">
        <v>38</v>
      </c>
      <c r="C16" s="3"/>
      <c r="D16" s="3"/>
      <c r="E16" s="3"/>
      <c r="F16" s="3"/>
      <c r="G16" s="3"/>
      <c r="H16" s="3"/>
      <c r="I16" s="3"/>
      <c r="J16" s="3"/>
      <c r="K16" s="3"/>
      <c r="L16" s="3"/>
      <c r="M16" s="3"/>
      <c r="N16" s="3"/>
      <c r="O16" s="3"/>
      <c r="P16" s="3"/>
      <c r="Q16" s="3"/>
      <c r="R16" s="3"/>
      <c r="S16" s="3"/>
      <c r="T16" s="3"/>
      <c r="U16" s="3"/>
      <c r="V16" s="3"/>
      <c r="W16" s="3"/>
      <c r="X16" s="3"/>
      <c r="Y16" s="3"/>
      <c r="Z16" s="3"/>
    </row>
    <row r="17">
      <c r="A17" s="6" t="s">
        <v>16</v>
      </c>
      <c r="B17" s="6" t="s">
        <v>39</v>
      </c>
      <c r="C17" s="3"/>
      <c r="D17" s="3"/>
      <c r="E17" s="3"/>
      <c r="F17" s="3"/>
      <c r="G17" s="3"/>
      <c r="H17" s="3"/>
      <c r="I17" s="3"/>
      <c r="J17" s="3"/>
      <c r="K17" s="3"/>
      <c r="L17" s="3"/>
      <c r="M17" s="3"/>
      <c r="N17" s="3"/>
      <c r="O17" s="3"/>
      <c r="P17" s="3"/>
      <c r="Q17" s="3"/>
      <c r="R17" s="3"/>
      <c r="S17" s="3"/>
      <c r="T17" s="3"/>
      <c r="U17" s="3"/>
      <c r="V17" s="3"/>
      <c r="W17" s="3"/>
      <c r="X17" s="3"/>
      <c r="Y17" s="3"/>
      <c r="Z17" s="3"/>
    </row>
    <row r="18">
      <c r="A18" s="6" t="s">
        <v>13</v>
      </c>
      <c r="B18" s="6" t="s">
        <v>40</v>
      </c>
      <c r="C18" s="3"/>
      <c r="D18" s="3"/>
      <c r="E18" s="3"/>
      <c r="F18" s="3"/>
      <c r="G18" s="3"/>
      <c r="H18" s="3"/>
      <c r="I18" s="3"/>
      <c r="J18" s="3"/>
      <c r="K18" s="3"/>
      <c r="L18" s="3"/>
      <c r="M18" s="3"/>
      <c r="N18" s="3"/>
      <c r="O18" s="3"/>
      <c r="P18" s="3"/>
      <c r="Q18" s="3"/>
      <c r="R18" s="3"/>
      <c r="S18" s="3"/>
      <c r="T18" s="3"/>
      <c r="U18" s="3"/>
      <c r="V18" s="3"/>
      <c r="W18" s="3"/>
      <c r="X18" s="3"/>
      <c r="Y18" s="3"/>
      <c r="Z18" s="3"/>
    </row>
    <row r="19">
      <c r="A19" s="6" t="s">
        <v>21</v>
      </c>
      <c r="B19" s="6" t="s">
        <v>41</v>
      </c>
      <c r="C19" s="3"/>
      <c r="D19" s="3"/>
      <c r="E19" s="3"/>
      <c r="F19" s="3"/>
      <c r="G19" s="3"/>
      <c r="H19" s="3"/>
      <c r="I19" s="3"/>
      <c r="J19" s="3"/>
      <c r="K19" s="3"/>
      <c r="L19" s="3"/>
      <c r="M19" s="3"/>
      <c r="N19" s="3"/>
      <c r="O19" s="3"/>
      <c r="P19" s="3"/>
      <c r="Q19" s="3"/>
      <c r="R19" s="3"/>
      <c r="S19" s="3"/>
      <c r="T19" s="3"/>
      <c r="U19" s="3"/>
      <c r="V19" s="3"/>
      <c r="W19" s="3"/>
      <c r="X19" s="3"/>
      <c r="Y19" s="3"/>
      <c r="Z19" s="3"/>
    </row>
    <row r="20">
      <c r="A20" s="6" t="s">
        <v>17</v>
      </c>
      <c r="B20" s="6" t="s">
        <v>44</v>
      </c>
      <c r="C20" s="3"/>
      <c r="D20" s="3"/>
      <c r="E20" s="3"/>
      <c r="F20" s="3"/>
      <c r="G20" s="3"/>
      <c r="H20" s="3"/>
      <c r="I20" s="3"/>
      <c r="J20" s="3"/>
      <c r="K20" s="3"/>
      <c r="L20" s="3"/>
      <c r="M20" s="3"/>
      <c r="N20" s="3"/>
      <c r="O20" s="3"/>
      <c r="P20" s="3"/>
      <c r="Q20" s="3"/>
      <c r="R20" s="3"/>
      <c r="S20" s="3"/>
      <c r="T20" s="3"/>
      <c r="U20" s="3"/>
      <c r="V20" s="3"/>
      <c r="W20" s="3"/>
      <c r="X20" s="3"/>
      <c r="Y20" s="3"/>
      <c r="Z20" s="3"/>
    </row>
    <row r="21">
      <c r="A21" s="6" t="s">
        <v>9</v>
      </c>
      <c r="B21" s="6" t="s">
        <v>45</v>
      </c>
      <c r="C21" s="3"/>
      <c r="D21" s="3"/>
      <c r="E21" s="3"/>
      <c r="F21" s="3"/>
      <c r="G21" s="3"/>
      <c r="H21" s="3"/>
      <c r="I21" s="3"/>
      <c r="J21" s="3"/>
      <c r="K21" s="3"/>
      <c r="L21" s="3"/>
      <c r="M21" s="3"/>
      <c r="N21" s="3"/>
      <c r="O21" s="3"/>
      <c r="P21" s="3"/>
      <c r="Q21" s="3"/>
      <c r="R21" s="3"/>
      <c r="S21" s="3"/>
      <c r="T21" s="3"/>
      <c r="U21" s="3"/>
      <c r="V21" s="3"/>
      <c r="W21" s="3"/>
      <c r="X21" s="3"/>
      <c r="Y21" s="3"/>
      <c r="Z21" s="3"/>
    </row>
    <row r="22">
      <c r="A22" s="6" t="s">
        <v>18</v>
      </c>
      <c r="B22" s="6" t="s">
        <v>46</v>
      </c>
      <c r="C22" s="3"/>
      <c r="D22" s="3"/>
      <c r="E22" s="3"/>
      <c r="F22" s="3"/>
      <c r="G22" s="3"/>
      <c r="H22" s="3"/>
      <c r="I22" s="3"/>
      <c r="J22" s="3"/>
      <c r="K22" s="3"/>
      <c r="L22" s="3"/>
      <c r="M22" s="3"/>
      <c r="N22" s="3"/>
      <c r="O22" s="3"/>
      <c r="P22" s="3"/>
      <c r="Q22" s="3"/>
      <c r="R22" s="3"/>
      <c r="S22" s="3"/>
      <c r="T22" s="3"/>
      <c r="U22" s="3"/>
      <c r="V22" s="3"/>
      <c r="W22" s="3"/>
      <c r="X22" s="3"/>
      <c r="Y22" s="3"/>
      <c r="Z22" s="3"/>
    </row>
    <row r="23">
      <c r="A23" s="6" t="s">
        <v>14</v>
      </c>
      <c r="B23" s="6" t="s">
        <v>48</v>
      </c>
      <c r="C23" s="3"/>
      <c r="D23" s="3"/>
      <c r="E23" s="3"/>
      <c r="F23" s="3"/>
      <c r="G23" s="3"/>
      <c r="H23" s="3"/>
      <c r="I23" s="3"/>
      <c r="J23" s="3"/>
      <c r="K23" s="3"/>
      <c r="L23" s="3"/>
      <c r="M23" s="3"/>
      <c r="N23" s="3"/>
      <c r="O23" s="3"/>
      <c r="P23" s="3"/>
      <c r="Q23" s="3"/>
      <c r="R23" s="3"/>
      <c r="S23" s="3"/>
      <c r="T23" s="3"/>
      <c r="U23" s="3"/>
      <c r="V23" s="3"/>
      <c r="W23" s="3"/>
      <c r="X23" s="3"/>
      <c r="Y23" s="3"/>
      <c r="Z23"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2" t="s">
        <v>51</v>
      </c>
      <c r="B26" s="3"/>
      <c r="C26" s="3"/>
      <c r="D26" s="3"/>
      <c r="E26" s="3"/>
      <c r="F26" s="3"/>
      <c r="G26" s="3"/>
      <c r="H26" s="3"/>
      <c r="I26" s="3"/>
      <c r="J26" s="3"/>
      <c r="K26" s="3"/>
      <c r="L26" s="3"/>
      <c r="M26" s="3"/>
      <c r="N26" s="3"/>
      <c r="O26" s="3"/>
      <c r="P26" s="3"/>
      <c r="Q26" s="3"/>
      <c r="R26" s="3"/>
      <c r="S26" s="3"/>
      <c r="T26" s="3"/>
      <c r="U26" s="3"/>
      <c r="V26" s="3"/>
      <c r="W26" s="3"/>
      <c r="X26" s="3"/>
      <c r="Y26" s="3"/>
      <c r="Z26" s="3"/>
    </row>
    <row r="27">
      <c r="A27" s="6">
        <v>1.0</v>
      </c>
      <c r="B27" s="6" t="s">
        <v>52</v>
      </c>
      <c r="C27" s="3"/>
      <c r="D27" s="3"/>
      <c r="E27" s="3"/>
      <c r="F27" s="3"/>
      <c r="G27" s="3"/>
      <c r="H27" s="3"/>
      <c r="I27" s="3"/>
      <c r="J27" s="3"/>
      <c r="K27" s="3"/>
      <c r="L27" s="3"/>
      <c r="M27" s="3"/>
      <c r="N27" s="3"/>
      <c r="O27" s="3"/>
      <c r="P27" s="3"/>
      <c r="Q27" s="3"/>
      <c r="R27" s="3"/>
      <c r="S27" s="3"/>
      <c r="T27" s="3"/>
      <c r="U27" s="3"/>
      <c r="V27" s="3"/>
      <c r="W27" s="3"/>
      <c r="X27" s="3"/>
      <c r="Y27" s="3"/>
      <c r="Z27" s="3"/>
    </row>
    <row r="28">
      <c r="A28" s="6">
        <v>2.0</v>
      </c>
      <c r="B28" s="6" t="s">
        <v>54</v>
      </c>
      <c r="C28" s="3"/>
      <c r="D28" s="3"/>
      <c r="E28" s="3"/>
      <c r="F28" s="3"/>
      <c r="G28" s="3"/>
      <c r="H28" s="3"/>
      <c r="I28" s="3"/>
      <c r="J28" s="3"/>
      <c r="K28" s="3"/>
      <c r="L28" s="3"/>
      <c r="M28" s="3"/>
      <c r="N28" s="3"/>
      <c r="O28" s="3"/>
      <c r="P28" s="3"/>
      <c r="Q28" s="3"/>
      <c r="R28" s="3"/>
      <c r="S28" s="3"/>
      <c r="T28" s="3"/>
      <c r="U28" s="3"/>
      <c r="V28" s="3"/>
      <c r="W28" s="3"/>
      <c r="X28" s="3"/>
      <c r="Y28" s="3"/>
      <c r="Z28" s="3"/>
    </row>
    <row r="29">
      <c r="A29" s="6">
        <v>3.0</v>
      </c>
      <c r="B29" s="6" t="s">
        <v>55</v>
      </c>
      <c r="C29" s="3"/>
      <c r="D29" s="3"/>
      <c r="E29" s="3"/>
      <c r="F29" s="3"/>
      <c r="G29" s="3"/>
      <c r="H29" s="3"/>
      <c r="I29" s="3"/>
      <c r="J29" s="3"/>
      <c r="K29" s="3"/>
      <c r="L29" s="3"/>
      <c r="M29" s="3"/>
      <c r="N29" s="3"/>
      <c r="O29" s="3"/>
      <c r="P29" s="3"/>
      <c r="Q29" s="3"/>
      <c r="R29" s="3"/>
      <c r="S29" s="3"/>
      <c r="T29" s="3"/>
      <c r="U29" s="3"/>
      <c r="V29" s="3"/>
      <c r="W29" s="3"/>
      <c r="X29" s="3"/>
      <c r="Y29" s="3"/>
      <c r="Z29" s="3"/>
    </row>
    <row r="30">
      <c r="A30" s="6">
        <v>4.0</v>
      </c>
      <c r="B30" s="6" t="s">
        <v>56</v>
      </c>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2" t="s">
        <v>59</v>
      </c>
      <c r="B33" s="3"/>
      <c r="C33" s="3"/>
      <c r="D33" s="3"/>
      <c r="E33" s="3"/>
      <c r="F33" s="3"/>
      <c r="G33" s="3"/>
      <c r="H33" s="3"/>
      <c r="I33" s="3"/>
      <c r="J33" s="3"/>
      <c r="K33" s="3"/>
      <c r="L33" s="3"/>
      <c r="M33" s="3"/>
      <c r="N33" s="3"/>
      <c r="O33" s="3"/>
      <c r="P33" s="3"/>
      <c r="Q33" s="3"/>
      <c r="R33" s="3"/>
      <c r="S33" s="3"/>
      <c r="T33" s="3"/>
      <c r="U33" s="3"/>
      <c r="V33" s="3"/>
      <c r="W33" s="3"/>
      <c r="X33" s="3"/>
      <c r="Y33" s="3"/>
      <c r="Z33" s="3"/>
    </row>
    <row r="34">
      <c r="A34" s="6">
        <v>1.0</v>
      </c>
      <c r="B34" s="5" t="s">
        <v>60</v>
      </c>
      <c r="C34" s="3"/>
      <c r="D34" s="3"/>
      <c r="E34" s="3"/>
      <c r="F34" s="3"/>
      <c r="G34" s="3"/>
      <c r="H34" s="3"/>
      <c r="I34" s="3"/>
      <c r="J34" s="3"/>
      <c r="K34" s="3"/>
      <c r="L34" s="3"/>
      <c r="M34" s="3"/>
      <c r="N34" s="3"/>
      <c r="O34" s="3"/>
      <c r="P34" s="3"/>
      <c r="Q34" s="3"/>
      <c r="R34" s="3"/>
      <c r="S34" s="3"/>
      <c r="T34" s="3"/>
      <c r="U34" s="3"/>
      <c r="V34" s="3"/>
      <c r="W34" s="3"/>
      <c r="X34" s="3"/>
      <c r="Y34" s="3"/>
      <c r="Z34" s="3"/>
    </row>
    <row r="35">
      <c r="A35" s="6">
        <v>2.0</v>
      </c>
      <c r="B35" s="5" t="s">
        <v>62</v>
      </c>
      <c r="C35" s="3"/>
      <c r="D35" s="3"/>
      <c r="E35" s="3"/>
      <c r="F35" s="3"/>
      <c r="G35" s="3"/>
      <c r="H35" s="3"/>
      <c r="I35" s="3"/>
      <c r="J35" s="3"/>
      <c r="K35" s="3"/>
      <c r="L35" s="3"/>
      <c r="M35" s="3"/>
      <c r="N35" s="3"/>
      <c r="O35" s="3"/>
      <c r="P35" s="3"/>
      <c r="Q35" s="3"/>
      <c r="R35" s="3"/>
      <c r="S35" s="3"/>
      <c r="T35" s="3"/>
      <c r="U35" s="3"/>
      <c r="V35" s="3"/>
      <c r="W35" s="3"/>
      <c r="X35" s="3"/>
      <c r="Y35" s="3"/>
      <c r="Z35" s="3"/>
    </row>
    <row r="36">
      <c r="A36" s="6">
        <v>3.0</v>
      </c>
      <c r="B36" s="8" t="s">
        <v>63</v>
      </c>
      <c r="C36" s="3"/>
      <c r="D36" s="3"/>
      <c r="E36" s="3"/>
      <c r="F36" s="3"/>
      <c r="G36" s="3"/>
      <c r="H36" s="3"/>
      <c r="I36" s="3"/>
      <c r="J36" s="3"/>
      <c r="K36" s="3"/>
      <c r="L36" s="3"/>
      <c r="M36" s="3"/>
      <c r="N36" s="3"/>
      <c r="O36" s="3"/>
      <c r="P36" s="3"/>
      <c r="Q36" s="3"/>
      <c r="R36" s="3"/>
      <c r="S36" s="3"/>
      <c r="T36" s="3"/>
      <c r="U36" s="3"/>
      <c r="V36" s="3"/>
      <c r="W36" s="3"/>
      <c r="X36" s="3"/>
      <c r="Y36" s="3"/>
      <c r="Z36" s="3"/>
    </row>
    <row r="37">
      <c r="A37" s="3"/>
      <c r="B37" s="8" t="s">
        <v>65</v>
      </c>
      <c r="C37" s="3"/>
      <c r="D37" s="3"/>
      <c r="E37" s="3"/>
      <c r="F37" s="3"/>
      <c r="G37" s="3"/>
      <c r="H37" s="3"/>
      <c r="I37" s="3"/>
      <c r="J37" s="3"/>
      <c r="K37" s="3"/>
      <c r="L37" s="3"/>
      <c r="M37" s="3"/>
      <c r="N37" s="3"/>
      <c r="O37" s="3"/>
      <c r="P37" s="3"/>
      <c r="Q37" s="3"/>
      <c r="R37" s="3"/>
      <c r="S37" s="3"/>
      <c r="T37" s="3"/>
      <c r="U37" s="3"/>
      <c r="V37" s="3"/>
      <c r="W37" s="3"/>
      <c r="X37" s="3"/>
      <c r="Y37" s="3"/>
      <c r="Z37" s="3"/>
    </row>
    <row r="38">
      <c r="A38" s="3"/>
      <c r="B38" s="8" t="s">
        <v>67</v>
      </c>
      <c r="C38" s="3"/>
      <c r="D38" s="3"/>
      <c r="E38" s="3"/>
      <c r="F38" s="3"/>
      <c r="G38" s="3"/>
      <c r="H38" s="3"/>
      <c r="I38" s="3"/>
      <c r="J38" s="3"/>
      <c r="K38" s="3"/>
      <c r="L38" s="3"/>
      <c r="M38" s="3"/>
      <c r="N38" s="3"/>
      <c r="O38" s="3"/>
      <c r="P38" s="3"/>
      <c r="Q38" s="3"/>
      <c r="R38" s="3"/>
      <c r="S38" s="3"/>
      <c r="T38" s="3"/>
      <c r="U38" s="3"/>
      <c r="V38" s="3"/>
      <c r="W38" s="3"/>
      <c r="X38" s="3"/>
      <c r="Y38" s="3"/>
      <c r="Z38" s="3"/>
    </row>
    <row r="39">
      <c r="A39" s="6">
        <v>4.0</v>
      </c>
      <c r="B39" s="8" t="s">
        <v>68</v>
      </c>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2" t="s">
        <v>70</v>
      </c>
      <c r="B42" s="3"/>
      <c r="C42" s="3"/>
      <c r="D42" s="3"/>
      <c r="E42" s="3"/>
      <c r="F42" s="3"/>
      <c r="G42" s="3"/>
      <c r="H42" s="3"/>
      <c r="I42" s="3"/>
      <c r="J42" s="3"/>
      <c r="K42" s="3"/>
      <c r="L42" s="3"/>
      <c r="M42" s="3"/>
      <c r="N42" s="3"/>
      <c r="O42" s="3"/>
      <c r="P42" s="3"/>
      <c r="Q42" s="3"/>
      <c r="R42" s="3"/>
      <c r="S42" s="3"/>
      <c r="T42" s="3"/>
      <c r="U42" s="3"/>
      <c r="V42" s="3"/>
      <c r="W42" s="3"/>
      <c r="X42" s="3"/>
      <c r="Y42" s="3"/>
      <c r="Z42" s="3"/>
    </row>
    <row r="43">
      <c r="A43" s="6">
        <v>1.0</v>
      </c>
      <c r="B43" s="5" t="s">
        <v>71</v>
      </c>
      <c r="C43" s="3"/>
      <c r="D43" s="3"/>
      <c r="E43" s="3"/>
      <c r="F43" s="3"/>
      <c r="G43" s="3"/>
      <c r="H43" s="3"/>
      <c r="I43" s="3"/>
      <c r="J43" s="3"/>
      <c r="K43" s="3"/>
      <c r="L43" s="3"/>
      <c r="M43" s="3"/>
      <c r="N43" s="3"/>
      <c r="O43" s="3"/>
      <c r="P43" s="3"/>
      <c r="Q43" s="3"/>
      <c r="R43" s="3"/>
      <c r="S43" s="3"/>
      <c r="T43" s="3"/>
      <c r="U43" s="3"/>
      <c r="V43" s="3"/>
      <c r="W43" s="3"/>
      <c r="X43" s="3"/>
      <c r="Y43" s="3"/>
      <c r="Z43" s="3"/>
    </row>
    <row r="44">
      <c r="A44" s="6">
        <v>2.0</v>
      </c>
      <c r="B44" s="5" t="s">
        <v>73</v>
      </c>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6" max="6" width="18.0"/>
    <col customWidth="1" min="11" max="11" width="20.75"/>
  </cols>
  <sheetData>
    <row r="1">
      <c r="A1" s="1"/>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c r="Y1" s="4"/>
      <c r="Z1" s="4"/>
      <c r="AA1" s="4"/>
      <c r="AB1" s="4"/>
      <c r="AC1" s="4"/>
      <c r="AD1" s="4"/>
      <c r="AE1" s="4"/>
      <c r="AF1" s="4"/>
    </row>
    <row r="2">
      <c r="A2" s="5" t="s">
        <v>24</v>
      </c>
      <c r="B2" s="5" t="s">
        <v>25</v>
      </c>
      <c r="C2" s="5">
        <v>9.885</v>
      </c>
      <c r="D2" s="5">
        <f t="shared" ref="D2:D214" si="1">ROUNDUP(C2/1000,0)</f>
        <v>1</v>
      </c>
      <c r="E2" s="5">
        <v>100.0</v>
      </c>
      <c r="F2" s="5">
        <f t="shared" ref="F2:F214" si="2">ROUND(E2,0)</f>
        <v>100</v>
      </c>
      <c r="G2" s="5">
        <f t="shared" ref="G2:G214" si="3">C2*(E2/100)</f>
        <v>9.885</v>
      </c>
      <c r="H2" s="5">
        <f t="shared" ref="H2:H214" si="4">100-E2</f>
        <v>0</v>
      </c>
      <c r="I2" s="5">
        <f t="shared" ref="I2:I214" si="5">ROUND(H2,0)</f>
        <v>0</v>
      </c>
      <c r="J2" s="5">
        <v>100.0</v>
      </c>
      <c r="K2" s="5">
        <f t="shared" ref="K2:K88" si="6">ROUND(J2,1)</f>
        <v>100</v>
      </c>
      <c r="L2" s="5">
        <v>0.0</v>
      </c>
      <c r="M2" s="5">
        <v>0.0</v>
      </c>
      <c r="N2" s="5">
        <v>0.0</v>
      </c>
      <c r="O2" s="5" t="s">
        <v>25</v>
      </c>
      <c r="P2" s="5" t="s">
        <v>25</v>
      </c>
      <c r="Q2" s="5" t="s">
        <v>25</v>
      </c>
      <c r="R2" s="5" t="s">
        <v>25</v>
      </c>
      <c r="S2" s="5">
        <v>100.0</v>
      </c>
      <c r="T2" s="5">
        <v>0.0</v>
      </c>
      <c r="U2" s="5">
        <v>0.0</v>
      </c>
      <c r="V2" s="5">
        <v>0.0</v>
      </c>
      <c r="W2" s="7">
        <f t="shared" ref="W2:W214" si="7">COUNTA(A2:V2)</f>
        <v>22</v>
      </c>
    </row>
    <row r="3">
      <c r="A3" s="5" t="s">
        <v>42</v>
      </c>
      <c r="B3" s="5" t="s">
        <v>43</v>
      </c>
      <c r="C3" s="5">
        <v>10.83399963</v>
      </c>
      <c r="D3" s="5">
        <f t="shared" si="1"/>
        <v>1</v>
      </c>
      <c r="E3" s="5">
        <v>100.0</v>
      </c>
      <c r="F3" s="5">
        <f t="shared" si="2"/>
        <v>100</v>
      </c>
      <c r="G3" s="5">
        <f t="shared" si="3"/>
        <v>10.83399963</v>
      </c>
      <c r="H3" s="5">
        <f t="shared" si="4"/>
        <v>0</v>
      </c>
      <c r="I3" s="5">
        <f t="shared" si="5"/>
        <v>0</v>
      </c>
      <c r="J3" s="5">
        <v>100.0</v>
      </c>
      <c r="K3" s="5">
        <f t="shared" si="6"/>
        <v>100</v>
      </c>
      <c r="L3" s="5">
        <v>0.0</v>
      </c>
      <c r="M3" s="5">
        <v>0.0</v>
      </c>
      <c r="N3" s="5">
        <v>0.0</v>
      </c>
      <c r="O3" s="5" t="s">
        <v>25</v>
      </c>
      <c r="P3" s="5" t="s">
        <v>25</v>
      </c>
      <c r="Q3" s="5" t="s">
        <v>25</v>
      </c>
      <c r="R3" s="5" t="s">
        <v>25</v>
      </c>
      <c r="S3" s="5">
        <v>100.0</v>
      </c>
      <c r="T3" s="5">
        <v>0.0</v>
      </c>
      <c r="U3" s="5">
        <v>0.0</v>
      </c>
      <c r="V3" s="5">
        <v>0.0</v>
      </c>
      <c r="W3" s="7">
        <f t="shared" si="7"/>
        <v>22</v>
      </c>
    </row>
    <row r="4">
      <c r="A4" s="5" t="s">
        <v>47</v>
      </c>
      <c r="B4" s="5" t="s">
        <v>43</v>
      </c>
      <c r="C4" s="5">
        <v>33.69100189</v>
      </c>
      <c r="D4" s="5">
        <f t="shared" si="1"/>
        <v>1</v>
      </c>
      <c r="E4" s="5">
        <v>100.0</v>
      </c>
      <c r="F4" s="5">
        <f t="shared" si="2"/>
        <v>100</v>
      </c>
      <c r="G4" s="5">
        <f t="shared" si="3"/>
        <v>33.69100189</v>
      </c>
      <c r="H4" s="5">
        <f t="shared" si="4"/>
        <v>0</v>
      </c>
      <c r="I4" s="5">
        <f t="shared" si="5"/>
        <v>0</v>
      </c>
      <c r="J4" s="5">
        <v>100.0</v>
      </c>
      <c r="K4" s="5">
        <f t="shared" si="6"/>
        <v>100</v>
      </c>
      <c r="L4" s="5">
        <v>0.0</v>
      </c>
      <c r="M4" s="5">
        <v>0.0</v>
      </c>
      <c r="N4" s="5">
        <v>0.0</v>
      </c>
      <c r="O4" s="5" t="s">
        <v>25</v>
      </c>
      <c r="P4" s="5" t="s">
        <v>25</v>
      </c>
      <c r="Q4" s="5" t="s">
        <v>25</v>
      </c>
      <c r="R4" s="5" t="s">
        <v>25</v>
      </c>
      <c r="S4" s="5">
        <v>100.0</v>
      </c>
      <c r="T4" s="5">
        <v>0.0</v>
      </c>
      <c r="U4" s="5">
        <v>0.0</v>
      </c>
      <c r="V4" s="5">
        <v>0.0</v>
      </c>
      <c r="W4" s="7">
        <f t="shared" si="7"/>
        <v>22</v>
      </c>
    </row>
    <row r="5">
      <c r="A5" s="5" t="s">
        <v>49</v>
      </c>
      <c r="B5" s="5" t="s">
        <v>43</v>
      </c>
      <c r="C5" s="5">
        <v>38.659</v>
      </c>
      <c r="D5" s="5">
        <f t="shared" si="1"/>
        <v>1</v>
      </c>
      <c r="E5" s="5">
        <v>100.0</v>
      </c>
      <c r="F5" s="5">
        <f t="shared" si="2"/>
        <v>100</v>
      </c>
      <c r="G5" s="5">
        <f t="shared" si="3"/>
        <v>38.659</v>
      </c>
      <c r="H5" s="5">
        <f t="shared" si="4"/>
        <v>0</v>
      </c>
      <c r="I5" s="5">
        <f t="shared" si="5"/>
        <v>0</v>
      </c>
      <c r="J5" s="5">
        <v>99.99927139</v>
      </c>
      <c r="K5" s="5">
        <f t="shared" si="6"/>
        <v>100</v>
      </c>
      <c r="L5" s="5">
        <v>0.0</v>
      </c>
      <c r="M5" s="5">
        <v>7.286105507E-4</v>
      </c>
      <c r="N5" s="5">
        <v>0.0</v>
      </c>
      <c r="O5" s="5" t="s">
        <v>25</v>
      </c>
      <c r="P5" s="5" t="s">
        <v>25</v>
      </c>
      <c r="Q5" s="5" t="s">
        <v>25</v>
      </c>
      <c r="R5" s="5" t="s">
        <v>25</v>
      </c>
      <c r="S5" s="5">
        <v>99.99927139</v>
      </c>
      <c r="T5" s="5">
        <v>0.0</v>
      </c>
      <c r="U5" s="5">
        <v>7.286105507E-4</v>
      </c>
      <c r="V5" s="5">
        <v>0.0</v>
      </c>
      <c r="W5" s="7">
        <f t="shared" si="7"/>
        <v>22</v>
      </c>
    </row>
    <row r="6">
      <c r="A6" s="5" t="s">
        <v>50</v>
      </c>
      <c r="B6" s="5" t="s">
        <v>43</v>
      </c>
      <c r="C6" s="5">
        <v>39.24399948</v>
      </c>
      <c r="D6" s="5">
        <f t="shared" si="1"/>
        <v>1</v>
      </c>
      <c r="E6" s="5">
        <v>100.0</v>
      </c>
      <c r="F6" s="5">
        <f t="shared" si="2"/>
        <v>100</v>
      </c>
      <c r="G6" s="5">
        <f t="shared" si="3"/>
        <v>39.24399948</v>
      </c>
      <c r="H6" s="5">
        <f t="shared" si="4"/>
        <v>0</v>
      </c>
      <c r="I6" s="5">
        <f t="shared" si="5"/>
        <v>0</v>
      </c>
      <c r="J6" s="5">
        <v>100.0</v>
      </c>
      <c r="K6" s="5">
        <f t="shared" si="6"/>
        <v>100</v>
      </c>
      <c r="L6" s="5">
        <v>0.0</v>
      </c>
      <c r="M6" s="5">
        <v>0.0</v>
      </c>
      <c r="N6" s="5">
        <v>0.0</v>
      </c>
      <c r="O6" s="5" t="s">
        <v>25</v>
      </c>
      <c r="P6" s="5" t="s">
        <v>25</v>
      </c>
      <c r="Q6" s="5" t="s">
        <v>25</v>
      </c>
      <c r="R6" s="5" t="s">
        <v>25</v>
      </c>
      <c r="S6" s="5">
        <v>100.0</v>
      </c>
      <c r="T6" s="5">
        <v>0.0</v>
      </c>
      <c r="U6" s="5">
        <v>0.0</v>
      </c>
      <c r="V6" s="5">
        <v>0.0</v>
      </c>
      <c r="W6" s="7">
        <f t="shared" si="7"/>
        <v>22</v>
      </c>
    </row>
    <row r="7">
      <c r="A7" s="5" t="s">
        <v>53</v>
      </c>
      <c r="B7" s="5" t="s">
        <v>43</v>
      </c>
      <c r="C7" s="5">
        <v>62.27299881</v>
      </c>
      <c r="D7" s="5">
        <f t="shared" si="1"/>
        <v>1</v>
      </c>
      <c r="E7" s="5">
        <v>100.0</v>
      </c>
      <c r="F7" s="5">
        <f t="shared" si="2"/>
        <v>100</v>
      </c>
      <c r="G7" s="5">
        <f t="shared" si="3"/>
        <v>62.27299881</v>
      </c>
      <c r="H7" s="5">
        <f t="shared" si="4"/>
        <v>0</v>
      </c>
      <c r="I7" s="5">
        <f t="shared" si="5"/>
        <v>0</v>
      </c>
      <c r="J7" s="5">
        <v>99.90314002</v>
      </c>
      <c r="K7" s="5">
        <f t="shared" si="6"/>
        <v>99.9</v>
      </c>
      <c r="L7" s="5">
        <v>0.0</v>
      </c>
      <c r="M7" s="5">
        <v>0.09685998294</v>
      </c>
      <c r="N7" s="5">
        <v>0.0</v>
      </c>
      <c r="O7" s="5" t="s">
        <v>25</v>
      </c>
      <c r="P7" s="5" t="s">
        <v>25</v>
      </c>
      <c r="Q7" s="5" t="s">
        <v>25</v>
      </c>
      <c r="R7" s="5" t="s">
        <v>25</v>
      </c>
      <c r="S7" s="5">
        <v>99.90314002</v>
      </c>
      <c r="T7" s="5">
        <v>0.0</v>
      </c>
      <c r="U7" s="5">
        <v>0.09685998294</v>
      </c>
      <c r="V7" s="5">
        <v>0.0</v>
      </c>
      <c r="W7" s="7">
        <f t="shared" si="7"/>
        <v>22</v>
      </c>
    </row>
    <row r="8">
      <c r="A8" s="5" t="s">
        <v>57</v>
      </c>
      <c r="B8" s="5" t="s">
        <v>43</v>
      </c>
      <c r="C8" s="5">
        <v>649.34198</v>
      </c>
      <c r="D8" s="5">
        <f t="shared" si="1"/>
        <v>1</v>
      </c>
      <c r="E8" s="5">
        <v>100.0</v>
      </c>
      <c r="F8" s="5">
        <f t="shared" si="2"/>
        <v>100</v>
      </c>
      <c r="G8" s="5">
        <f t="shared" si="3"/>
        <v>649.34198</v>
      </c>
      <c r="H8" s="5">
        <f t="shared" si="4"/>
        <v>0</v>
      </c>
      <c r="I8" s="5">
        <f t="shared" si="5"/>
        <v>0</v>
      </c>
      <c r="J8" s="5">
        <v>100.0</v>
      </c>
      <c r="K8" s="5">
        <f t="shared" si="6"/>
        <v>100</v>
      </c>
      <c r="L8" s="5">
        <v>0.0</v>
      </c>
      <c r="M8" s="5">
        <v>0.0</v>
      </c>
      <c r="N8" s="5">
        <v>0.0</v>
      </c>
      <c r="O8" s="5" t="s">
        <v>25</v>
      </c>
      <c r="P8" s="5" t="s">
        <v>25</v>
      </c>
      <c r="Q8" s="5" t="s">
        <v>25</v>
      </c>
      <c r="R8" s="5" t="s">
        <v>25</v>
      </c>
      <c r="S8" s="5">
        <v>100.0</v>
      </c>
      <c r="T8" s="5">
        <v>0.0</v>
      </c>
      <c r="U8" s="5">
        <v>0.0</v>
      </c>
      <c r="V8" s="5">
        <v>0.0</v>
      </c>
      <c r="W8" s="7">
        <f t="shared" si="7"/>
        <v>22</v>
      </c>
    </row>
    <row r="9">
      <c r="A9" s="5" t="s">
        <v>58</v>
      </c>
      <c r="B9" s="5" t="s">
        <v>25</v>
      </c>
      <c r="C9" s="5">
        <v>895.3079834</v>
      </c>
      <c r="D9" s="5">
        <f t="shared" si="1"/>
        <v>1</v>
      </c>
      <c r="E9" s="5">
        <v>99.65900421</v>
      </c>
      <c r="F9" s="5">
        <f t="shared" si="2"/>
        <v>100</v>
      </c>
      <c r="G9" s="5">
        <f t="shared" si="3"/>
        <v>892.2550209</v>
      </c>
      <c r="H9" s="5">
        <f t="shared" si="4"/>
        <v>0.34099579</v>
      </c>
      <c r="I9" s="5">
        <f t="shared" si="5"/>
        <v>0</v>
      </c>
      <c r="J9" s="5">
        <v>100.0</v>
      </c>
      <c r="K9" s="5">
        <f t="shared" si="6"/>
        <v>100</v>
      </c>
      <c r="L9" s="5">
        <v>0.0</v>
      </c>
      <c r="M9" s="5">
        <v>0.0</v>
      </c>
      <c r="N9" s="5">
        <v>0.0</v>
      </c>
      <c r="O9" s="5" t="s">
        <v>25</v>
      </c>
      <c r="P9" s="5" t="s">
        <v>25</v>
      </c>
      <c r="Q9" s="5" t="s">
        <v>25</v>
      </c>
      <c r="R9" s="5" t="s">
        <v>25</v>
      </c>
      <c r="S9" s="5" t="s">
        <v>25</v>
      </c>
      <c r="T9" s="5" t="s">
        <v>25</v>
      </c>
      <c r="U9" s="5" t="s">
        <v>25</v>
      </c>
      <c r="V9" s="5" t="s">
        <v>25</v>
      </c>
      <c r="W9" s="7">
        <f t="shared" si="7"/>
        <v>22</v>
      </c>
    </row>
    <row r="10">
      <c r="A10" s="5" t="s">
        <v>61</v>
      </c>
      <c r="B10" s="5" t="s">
        <v>25</v>
      </c>
      <c r="C10" s="5">
        <v>400.1270142</v>
      </c>
      <c r="D10" s="5">
        <f t="shared" si="1"/>
        <v>1</v>
      </c>
      <c r="E10" s="5">
        <v>98.49899292</v>
      </c>
      <c r="F10" s="5">
        <f t="shared" si="2"/>
        <v>98</v>
      </c>
      <c r="G10" s="5">
        <f t="shared" si="3"/>
        <v>394.1210794</v>
      </c>
      <c r="H10" s="5">
        <f t="shared" si="4"/>
        <v>1.50100708</v>
      </c>
      <c r="I10" s="5">
        <f t="shared" si="5"/>
        <v>2</v>
      </c>
      <c r="J10" s="5">
        <v>99.80312604</v>
      </c>
      <c r="K10" s="5">
        <f t="shared" si="6"/>
        <v>99.8</v>
      </c>
      <c r="L10" s="5">
        <v>0.0</v>
      </c>
      <c r="M10" s="5">
        <v>0.1968739613</v>
      </c>
      <c r="N10" s="5">
        <v>0.0</v>
      </c>
      <c r="O10" s="5" t="s">
        <v>25</v>
      </c>
      <c r="P10" s="5" t="s">
        <v>25</v>
      </c>
      <c r="Q10" s="5" t="s">
        <v>25</v>
      </c>
      <c r="R10" s="5" t="s">
        <v>25</v>
      </c>
      <c r="S10" s="5" t="s">
        <v>25</v>
      </c>
      <c r="T10" s="5" t="s">
        <v>25</v>
      </c>
      <c r="U10" s="5" t="s">
        <v>25</v>
      </c>
      <c r="V10" s="5" t="s">
        <v>25</v>
      </c>
      <c r="W10" s="7">
        <f t="shared" si="7"/>
        <v>22</v>
      </c>
    </row>
    <row r="11">
      <c r="A11" s="5" t="s">
        <v>64</v>
      </c>
      <c r="B11" s="5" t="s">
        <v>43</v>
      </c>
      <c r="C11" s="5">
        <v>33.93799973</v>
      </c>
      <c r="D11" s="5">
        <f t="shared" si="1"/>
        <v>1</v>
      </c>
      <c r="E11" s="5">
        <v>97.49900055</v>
      </c>
      <c r="F11" s="5">
        <f t="shared" si="2"/>
        <v>97</v>
      </c>
      <c r="G11" s="5">
        <f t="shared" si="3"/>
        <v>33.08921054</v>
      </c>
      <c r="H11" s="5">
        <f t="shared" si="4"/>
        <v>2.50099945</v>
      </c>
      <c r="I11" s="5">
        <f t="shared" si="5"/>
        <v>3</v>
      </c>
      <c r="J11" s="5">
        <v>100.0</v>
      </c>
      <c r="K11" s="5">
        <f t="shared" si="6"/>
        <v>100</v>
      </c>
      <c r="L11" s="5">
        <v>0.0</v>
      </c>
      <c r="M11" s="5">
        <v>0.0</v>
      </c>
      <c r="N11" s="5">
        <v>0.0</v>
      </c>
      <c r="O11" s="5" t="s">
        <v>25</v>
      </c>
      <c r="P11" s="5" t="s">
        <v>25</v>
      </c>
      <c r="Q11" s="5" t="s">
        <v>25</v>
      </c>
      <c r="R11" s="5" t="s">
        <v>25</v>
      </c>
      <c r="S11" s="5" t="s">
        <v>25</v>
      </c>
      <c r="T11" s="5" t="s">
        <v>25</v>
      </c>
      <c r="U11" s="5" t="s">
        <v>25</v>
      </c>
      <c r="V11" s="5" t="s">
        <v>25</v>
      </c>
      <c r="W11" s="7">
        <f t="shared" si="7"/>
        <v>22</v>
      </c>
    </row>
    <row r="12">
      <c r="A12" s="5" t="s">
        <v>66</v>
      </c>
      <c r="B12" s="5" t="s">
        <v>43</v>
      </c>
      <c r="C12" s="5">
        <v>104.4229965</v>
      </c>
      <c r="D12" s="5">
        <f t="shared" si="1"/>
        <v>1</v>
      </c>
      <c r="E12" s="5">
        <v>95.93900299</v>
      </c>
      <c r="F12" s="5">
        <f t="shared" si="2"/>
        <v>96</v>
      </c>
      <c r="G12" s="5">
        <f t="shared" si="3"/>
        <v>100.1823817</v>
      </c>
      <c r="H12" s="5">
        <f t="shared" si="4"/>
        <v>4.06099701</v>
      </c>
      <c r="I12" s="5">
        <f t="shared" si="5"/>
        <v>4</v>
      </c>
      <c r="J12" s="5">
        <v>98.71826738</v>
      </c>
      <c r="K12" s="5">
        <f t="shared" si="6"/>
        <v>98.7</v>
      </c>
      <c r="L12" s="5">
        <v>0.0</v>
      </c>
      <c r="M12" s="5">
        <v>1.281732624</v>
      </c>
      <c r="N12" s="5">
        <v>0.0</v>
      </c>
      <c r="O12" s="5" t="s">
        <v>25</v>
      </c>
      <c r="P12" s="5" t="s">
        <v>25</v>
      </c>
      <c r="Q12" s="5" t="s">
        <v>25</v>
      </c>
      <c r="R12" s="5" t="s">
        <v>25</v>
      </c>
      <c r="S12" s="5" t="s">
        <v>25</v>
      </c>
      <c r="T12" s="5" t="s">
        <v>25</v>
      </c>
      <c r="U12" s="5" t="s">
        <v>25</v>
      </c>
      <c r="V12" s="5" t="s">
        <v>25</v>
      </c>
      <c r="W12" s="7">
        <f t="shared" si="7"/>
        <v>22</v>
      </c>
    </row>
    <row r="13">
      <c r="A13" s="5" t="s">
        <v>69</v>
      </c>
      <c r="B13" s="5" t="s">
        <v>43</v>
      </c>
      <c r="C13" s="5">
        <v>168.7830048</v>
      </c>
      <c r="D13" s="5">
        <f t="shared" si="1"/>
        <v>1</v>
      </c>
      <c r="E13" s="5">
        <v>94.93800354</v>
      </c>
      <c r="F13" s="5">
        <f t="shared" si="2"/>
        <v>95</v>
      </c>
      <c r="G13" s="5">
        <f t="shared" si="3"/>
        <v>160.2392151</v>
      </c>
      <c r="H13" s="5">
        <f t="shared" si="4"/>
        <v>5.06199646</v>
      </c>
      <c r="I13" s="5">
        <f t="shared" si="5"/>
        <v>5</v>
      </c>
      <c r="J13" s="5">
        <v>99.6952</v>
      </c>
      <c r="K13" s="5">
        <f t="shared" si="6"/>
        <v>99.7</v>
      </c>
      <c r="L13" s="5">
        <v>0.0</v>
      </c>
      <c r="M13" s="5">
        <v>0.3048</v>
      </c>
      <c r="N13" s="5">
        <v>0.0</v>
      </c>
      <c r="O13" s="5" t="s">
        <v>25</v>
      </c>
      <c r="P13" s="5" t="s">
        <v>25</v>
      </c>
      <c r="Q13" s="5" t="s">
        <v>25</v>
      </c>
      <c r="R13" s="5" t="s">
        <v>25</v>
      </c>
      <c r="S13" s="5" t="s">
        <v>25</v>
      </c>
      <c r="T13" s="5" t="s">
        <v>25</v>
      </c>
      <c r="U13" s="5" t="s">
        <v>25</v>
      </c>
      <c r="V13" s="5" t="s">
        <v>25</v>
      </c>
      <c r="W13" s="7">
        <f t="shared" si="7"/>
        <v>22</v>
      </c>
    </row>
    <row r="14">
      <c r="A14" s="5" t="s">
        <v>72</v>
      </c>
      <c r="B14" s="5" t="s">
        <v>43</v>
      </c>
      <c r="C14" s="5">
        <v>441.5390015</v>
      </c>
      <c r="D14" s="5">
        <f t="shared" si="1"/>
        <v>1</v>
      </c>
      <c r="E14" s="5">
        <v>94.7440033</v>
      </c>
      <c r="F14" s="5">
        <f t="shared" si="2"/>
        <v>95</v>
      </c>
      <c r="G14" s="5">
        <f t="shared" si="3"/>
        <v>418.3317262</v>
      </c>
      <c r="H14" s="5">
        <f t="shared" si="4"/>
        <v>5.2559967</v>
      </c>
      <c r="I14" s="5">
        <f t="shared" si="5"/>
        <v>5</v>
      </c>
      <c r="J14" s="5">
        <v>100.0000004</v>
      </c>
      <c r="K14" s="5">
        <f t="shared" si="6"/>
        <v>100</v>
      </c>
      <c r="L14" s="5">
        <v>0.0</v>
      </c>
      <c r="M14" s="5">
        <v>0.0</v>
      </c>
      <c r="N14" s="5">
        <v>0.0</v>
      </c>
      <c r="O14" s="5">
        <v>100.0</v>
      </c>
      <c r="P14" s="5">
        <v>0.0</v>
      </c>
      <c r="Q14" s="5">
        <v>0.0</v>
      </c>
      <c r="R14" s="5">
        <v>0.0</v>
      </c>
      <c r="S14" s="5">
        <v>100.0</v>
      </c>
      <c r="T14" s="5">
        <v>0.0</v>
      </c>
      <c r="U14" s="5">
        <v>0.0</v>
      </c>
      <c r="V14" s="5">
        <v>0.0</v>
      </c>
      <c r="W14" s="7">
        <f t="shared" si="7"/>
        <v>22</v>
      </c>
    </row>
    <row r="15">
      <c r="A15" s="5" t="s">
        <v>74</v>
      </c>
      <c r="B15" s="5" t="s">
        <v>43</v>
      </c>
      <c r="C15" s="5">
        <v>341.25</v>
      </c>
      <c r="D15" s="5">
        <f t="shared" si="1"/>
        <v>1</v>
      </c>
      <c r="E15" s="5">
        <v>93.897995</v>
      </c>
      <c r="F15" s="5">
        <f t="shared" si="2"/>
        <v>94</v>
      </c>
      <c r="G15" s="5">
        <f t="shared" si="3"/>
        <v>320.4269079</v>
      </c>
      <c r="H15" s="5">
        <f t="shared" si="4"/>
        <v>6.102005</v>
      </c>
      <c r="I15" s="5">
        <f t="shared" si="5"/>
        <v>6</v>
      </c>
      <c r="J15" s="5">
        <v>99.99999721</v>
      </c>
      <c r="K15" s="5">
        <f t="shared" si="6"/>
        <v>100</v>
      </c>
      <c r="L15" s="5">
        <v>0.0</v>
      </c>
      <c r="M15" s="5">
        <v>2.794650015E-6</v>
      </c>
      <c r="N15" s="5">
        <v>0.0</v>
      </c>
      <c r="O15" s="5">
        <v>100.0</v>
      </c>
      <c r="P15" s="5">
        <v>0.0</v>
      </c>
      <c r="Q15" s="5">
        <v>0.0</v>
      </c>
      <c r="R15" s="5">
        <v>0.0</v>
      </c>
      <c r="S15" s="5">
        <v>100.0</v>
      </c>
      <c r="T15" s="5">
        <v>0.0</v>
      </c>
      <c r="U15" s="5">
        <v>0.0</v>
      </c>
      <c r="V15" s="5">
        <v>0.0</v>
      </c>
      <c r="W15" s="7">
        <f t="shared" si="7"/>
        <v>22</v>
      </c>
    </row>
    <row r="16">
      <c r="A16" s="5" t="s">
        <v>75</v>
      </c>
      <c r="B16" s="5" t="s">
        <v>43</v>
      </c>
      <c r="C16" s="5">
        <v>57.55699921</v>
      </c>
      <c r="D16" s="5">
        <f t="shared" si="1"/>
        <v>1</v>
      </c>
      <c r="E16" s="5">
        <v>91.79799652</v>
      </c>
      <c r="F16" s="5">
        <f t="shared" si="2"/>
        <v>92</v>
      </c>
      <c r="G16" s="5">
        <f t="shared" si="3"/>
        <v>52.83617213</v>
      </c>
      <c r="H16" s="5">
        <f t="shared" si="4"/>
        <v>8.20200348</v>
      </c>
      <c r="I16" s="5">
        <f t="shared" si="5"/>
        <v>8</v>
      </c>
      <c r="J16" s="5">
        <v>100.0</v>
      </c>
      <c r="K16" s="5">
        <f t="shared" si="6"/>
        <v>100</v>
      </c>
      <c r="L16" s="5">
        <v>0.0</v>
      </c>
      <c r="M16" s="5">
        <v>0.0</v>
      </c>
      <c r="N16" s="5">
        <v>0.0</v>
      </c>
      <c r="O16" s="5" t="s">
        <v>25</v>
      </c>
      <c r="P16" s="5" t="s">
        <v>25</v>
      </c>
      <c r="Q16" s="5" t="s">
        <v>25</v>
      </c>
      <c r="R16" s="5" t="s">
        <v>25</v>
      </c>
      <c r="S16" s="5" t="s">
        <v>25</v>
      </c>
      <c r="T16" s="5" t="s">
        <v>25</v>
      </c>
      <c r="U16" s="5" t="s">
        <v>25</v>
      </c>
      <c r="V16" s="5" t="s">
        <v>25</v>
      </c>
      <c r="W16" s="7">
        <f t="shared" si="7"/>
        <v>22</v>
      </c>
    </row>
    <row r="17">
      <c r="A17" s="5" t="s">
        <v>76</v>
      </c>
      <c r="B17" s="5" t="s">
        <v>43</v>
      </c>
      <c r="C17" s="5">
        <v>625.9760132</v>
      </c>
      <c r="D17" s="5">
        <f t="shared" si="1"/>
        <v>1</v>
      </c>
      <c r="E17" s="5">
        <v>91.4529953</v>
      </c>
      <c r="F17" s="5">
        <f t="shared" si="2"/>
        <v>91</v>
      </c>
      <c r="G17" s="5">
        <f t="shared" si="3"/>
        <v>572.4738139</v>
      </c>
      <c r="H17" s="5">
        <f t="shared" si="4"/>
        <v>8.5470047</v>
      </c>
      <c r="I17" s="5">
        <f t="shared" si="5"/>
        <v>9</v>
      </c>
      <c r="J17" s="5">
        <v>99.87993254</v>
      </c>
      <c r="K17" s="5">
        <f t="shared" si="6"/>
        <v>99.9</v>
      </c>
      <c r="L17" s="5">
        <v>0.0</v>
      </c>
      <c r="M17" s="5">
        <v>0.1200674649</v>
      </c>
      <c r="N17" s="5">
        <v>0.0</v>
      </c>
      <c r="O17" s="5">
        <v>98.5952381</v>
      </c>
      <c r="P17" s="5">
        <v>0.0</v>
      </c>
      <c r="Q17" s="5">
        <v>1.404761905</v>
      </c>
      <c r="R17" s="5">
        <v>0.0</v>
      </c>
      <c r="S17" s="5">
        <v>100.0</v>
      </c>
      <c r="T17" s="5">
        <v>0.0</v>
      </c>
      <c r="U17" s="5">
        <v>0.0</v>
      </c>
      <c r="V17" s="5">
        <v>0.0</v>
      </c>
      <c r="W17" s="7">
        <f t="shared" si="7"/>
        <v>22</v>
      </c>
    </row>
    <row r="18">
      <c r="A18" s="5" t="s">
        <v>77</v>
      </c>
      <c r="B18" s="5" t="s">
        <v>25</v>
      </c>
      <c r="C18" s="5">
        <v>5.795000076</v>
      </c>
      <c r="D18" s="5">
        <f t="shared" si="1"/>
        <v>1</v>
      </c>
      <c r="E18" s="5">
        <v>89.96199799</v>
      </c>
      <c r="F18" s="5">
        <f t="shared" si="2"/>
        <v>90</v>
      </c>
      <c r="G18" s="5">
        <f t="shared" si="3"/>
        <v>5.213297852</v>
      </c>
      <c r="H18" s="5">
        <f t="shared" si="4"/>
        <v>10.03800201</v>
      </c>
      <c r="I18" s="5">
        <f t="shared" si="5"/>
        <v>10</v>
      </c>
      <c r="J18" s="5">
        <v>91.4</v>
      </c>
      <c r="K18" s="5">
        <f t="shared" si="6"/>
        <v>91.4</v>
      </c>
      <c r="L18" s="5">
        <v>0.0</v>
      </c>
      <c r="M18" s="5">
        <v>8.6</v>
      </c>
      <c r="N18" s="5">
        <v>0.0</v>
      </c>
      <c r="O18" s="5" t="s">
        <v>25</v>
      </c>
      <c r="P18" s="5" t="s">
        <v>25</v>
      </c>
      <c r="Q18" s="5" t="s">
        <v>25</v>
      </c>
      <c r="R18" s="5" t="s">
        <v>25</v>
      </c>
      <c r="S18" s="5" t="s">
        <v>25</v>
      </c>
      <c r="T18" s="5" t="s">
        <v>25</v>
      </c>
      <c r="U18" s="5" t="s">
        <v>25</v>
      </c>
      <c r="V18" s="5" t="s">
        <v>25</v>
      </c>
      <c r="W18" s="7">
        <f t="shared" si="7"/>
        <v>22</v>
      </c>
    </row>
    <row r="19">
      <c r="A19" s="5" t="s">
        <v>78</v>
      </c>
      <c r="B19" s="5" t="s">
        <v>79</v>
      </c>
      <c r="C19" s="5">
        <v>59.19400024</v>
      </c>
      <c r="D19" s="5">
        <f t="shared" si="1"/>
        <v>1</v>
      </c>
      <c r="E19" s="5">
        <v>88.57204698</v>
      </c>
      <c r="F19" s="5">
        <f t="shared" si="2"/>
        <v>89</v>
      </c>
      <c r="G19" s="5">
        <f t="shared" si="3"/>
        <v>52.4293377</v>
      </c>
      <c r="H19" s="5">
        <f t="shared" si="4"/>
        <v>11.42795302</v>
      </c>
      <c r="I19" s="5">
        <f t="shared" si="5"/>
        <v>11</v>
      </c>
      <c r="J19" s="5">
        <v>11.387979</v>
      </c>
      <c r="K19" s="5">
        <f t="shared" si="6"/>
        <v>11.4</v>
      </c>
      <c r="L19" s="5">
        <v>0.03997402585</v>
      </c>
      <c r="M19" s="5">
        <v>0.0</v>
      </c>
      <c r="N19" s="5">
        <v>94.42972</v>
      </c>
      <c r="O19" s="5">
        <v>5.39028</v>
      </c>
      <c r="P19" s="5">
        <v>0.18</v>
      </c>
      <c r="Q19" s="5">
        <v>0.0</v>
      </c>
      <c r="R19" s="5">
        <v>86.9</v>
      </c>
      <c r="S19" s="5">
        <v>13.1</v>
      </c>
      <c r="T19" s="5">
        <v>0.0</v>
      </c>
      <c r="U19" s="5">
        <v>0.0</v>
      </c>
      <c r="V19" s="5" t="s">
        <v>25</v>
      </c>
      <c r="W19" s="7">
        <f t="shared" si="7"/>
        <v>22</v>
      </c>
    </row>
    <row r="20">
      <c r="A20" s="5" t="s">
        <v>80</v>
      </c>
      <c r="B20" s="5" t="s">
        <v>25</v>
      </c>
      <c r="C20" s="5">
        <v>375.2650146</v>
      </c>
      <c r="D20" s="5">
        <f t="shared" si="1"/>
        <v>1</v>
      </c>
      <c r="E20" s="5">
        <v>89.13999939</v>
      </c>
      <c r="F20" s="5">
        <f t="shared" si="2"/>
        <v>89</v>
      </c>
      <c r="G20" s="5">
        <f t="shared" si="3"/>
        <v>334.5112317</v>
      </c>
      <c r="H20" s="5">
        <f t="shared" si="4"/>
        <v>10.86000061</v>
      </c>
      <c r="I20" s="5">
        <f t="shared" si="5"/>
        <v>11</v>
      </c>
      <c r="J20" s="5">
        <v>99.84197078</v>
      </c>
      <c r="K20" s="5">
        <f t="shared" si="6"/>
        <v>99.8</v>
      </c>
      <c r="L20" s="5">
        <v>0.0</v>
      </c>
      <c r="M20" s="5">
        <v>0.1580292158</v>
      </c>
      <c r="N20" s="5">
        <v>0.0</v>
      </c>
      <c r="O20" s="5" t="s">
        <v>25</v>
      </c>
      <c r="P20" s="5" t="s">
        <v>25</v>
      </c>
      <c r="Q20" s="5" t="s">
        <v>25</v>
      </c>
      <c r="R20" s="5" t="s">
        <v>25</v>
      </c>
      <c r="S20" s="5" t="s">
        <v>25</v>
      </c>
      <c r="T20" s="5" t="s">
        <v>25</v>
      </c>
      <c r="U20" s="5" t="s">
        <v>25</v>
      </c>
      <c r="V20" s="5" t="s">
        <v>25</v>
      </c>
      <c r="W20" s="7">
        <f t="shared" si="7"/>
        <v>22</v>
      </c>
    </row>
    <row r="21">
      <c r="A21" s="5" t="s">
        <v>81</v>
      </c>
      <c r="B21" s="5" t="s">
        <v>43</v>
      </c>
      <c r="C21" s="5">
        <v>77.26499939</v>
      </c>
      <c r="D21" s="5">
        <f t="shared" si="1"/>
        <v>1</v>
      </c>
      <c r="E21" s="5">
        <v>87.91600037</v>
      </c>
      <c r="F21" s="5">
        <f t="shared" si="2"/>
        <v>88</v>
      </c>
      <c r="G21" s="5">
        <f t="shared" si="3"/>
        <v>67.92829715</v>
      </c>
      <c r="H21" s="5">
        <f t="shared" si="4"/>
        <v>12.08399963</v>
      </c>
      <c r="I21" s="5">
        <f t="shared" si="5"/>
        <v>12</v>
      </c>
      <c r="J21" s="5">
        <v>100.0000037</v>
      </c>
      <c r="K21" s="5">
        <f t="shared" si="6"/>
        <v>100</v>
      </c>
      <c r="L21" s="5">
        <v>0.0</v>
      </c>
      <c r="M21" s="5">
        <v>0.0</v>
      </c>
      <c r="N21" s="5">
        <v>0.0</v>
      </c>
      <c r="O21" s="5">
        <v>100.0</v>
      </c>
      <c r="P21" s="5">
        <v>0.0</v>
      </c>
      <c r="Q21" s="5">
        <v>0.0</v>
      </c>
      <c r="R21" s="5">
        <v>0.0</v>
      </c>
      <c r="S21" s="5">
        <v>100.0</v>
      </c>
      <c r="T21" s="5">
        <v>0.0</v>
      </c>
      <c r="U21" s="5">
        <v>0.0</v>
      </c>
      <c r="V21" s="5">
        <v>0.0</v>
      </c>
      <c r="W21" s="7">
        <f t="shared" si="7"/>
        <v>22</v>
      </c>
    </row>
    <row r="22">
      <c r="A22" s="5" t="s">
        <v>82</v>
      </c>
      <c r="B22" s="5" t="s">
        <v>79</v>
      </c>
      <c r="C22" s="5">
        <v>55.1969986</v>
      </c>
      <c r="D22" s="5">
        <f t="shared" si="1"/>
        <v>1</v>
      </c>
      <c r="E22" s="5">
        <v>87.15299988</v>
      </c>
      <c r="F22" s="5">
        <f t="shared" si="2"/>
        <v>87</v>
      </c>
      <c r="G22" s="5">
        <f t="shared" si="3"/>
        <v>48.10584012</v>
      </c>
      <c r="H22" s="5">
        <f t="shared" si="4"/>
        <v>12.84700012</v>
      </c>
      <c r="I22" s="5">
        <f t="shared" si="5"/>
        <v>13</v>
      </c>
      <c r="J22" s="5">
        <v>99.77377166</v>
      </c>
      <c r="K22" s="5">
        <f t="shared" si="6"/>
        <v>99.8</v>
      </c>
      <c r="L22" s="5">
        <v>0.0</v>
      </c>
      <c r="M22" s="5">
        <v>0.2262283415</v>
      </c>
      <c r="N22" s="5">
        <v>0.0</v>
      </c>
      <c r="O22" s="5" t="s">
        <v>25</v>
      </c>
      <c r="P22" s="5" t="s">
        <v>25</v>
      </c>
      <c r="Q22" s="5" t="s">
        <v>25</v>
      </c>
      <c r="R22" s="5" t="s">
        <v>25</v>
      </c>
      <c r="S22" s="5" t="s">
        <v>25</v>
      </c>
      <c r="T22" s="5" t="s">
        <v>25</v>
      </c>
      <c r="U22" s="5" t="s">
        <v>25</v>
      </c>
      <c r="V22" s="5" t="s">
        <v>25</v>
      </c>
      <c r="W22" s="7">
        <f t="shared" si="7"/>
        <v>22</v>
      </c>
    </row>
    <row r="23">
      <c r="A23" s="5" t="s">
        <v>83</v>
      </c>
      <c r="B23" s="5" t="s">
        <v>43</v>
      </c>
      <c r="C23" s="5">
        <v>56.77199936</v>
      </c>
      <c r="D23" s="5">
        <f t="shared" si="1"/>
        <v>1</v>
      </c>
      <c r="E23" s="5">
        <v>87.28200531</v>
      </c>
      <c r="F23" s="5">
        <f t="shared" si="2"/>
        <v>87</v>
      </c>
      <c r="G23" s="5">
        <f t="shared" si="3"/>
        <v>49.5517395</v>
      </c>
      <c r="H23" s="5">
        <f t="shared" si="4"/>
        <v>12.71799469</v>
      </c>
      <c r="I23" s="5">
        <f t="shared" si="5"/>
        <v>13</v>
      </c>
      <c r="J23" s="5">
        <v>100.0000017</v>
      </c>
      <c r="K23" s="5">
        <f t="shared" si="6"/>
        <v>100</v>
      </c>
      <c r="L23" s="5">
        <v>0.0</v>
      </c>
      <c r="M23" s="5">
        <v>0.0</v>
      </c>
      <c r="N23" s="5">
        <v>0.0</v>
      </c>
      <c r="O23" s="5">
        <v>100.0</v>
      </c>
      <c r="P23" s="5">
        <v>0.0</v>
      </c>
      <c r="Q23" s="5">
        <v>0.0</v>
      </c>
      <c r="R23" s="5">
        <v>0.0</v>
      </c>
      <c r="S23" s="5">
        <v>100.0</v>
      </c>
      <c r="T23" s="5">
        <v>0.0</v>
      </c>
      <c r="U23" s="5">
        <v>0.0</v>
      </c>
      <c r="V23" s="5">
        <v>0.0</v>
      </c>
      <c r="W23" s="7">
        <f t="shared" si="7"/>
        <v>22</v>
      </c>
    </row>
    <row r="24">
      <c r="A24" s="5" t="s">
        <v>84</v>
      </c>
      <c r="B24" s="5" t="s">
        <v>25</v>
      </c>
      <c r="C24" s="5">
        <v>298.6820068</v>
      </c>
      <c r="D24" s="5">
        <f t="shared" si="1"/>
        <v>1</v>
      </c>
      <c r="E24" s="5">
        <v>85.81999969</v>
      </c>
      <c r="F24" s="5">
        <f t="shared" si="2"/>
        <v>86</v>
      </c>
      <c r="G24" s="5">
        <f t="shared" si="3"/>
        <v>256.3288973</v>
      </c>
      <c r="H24" s="5">
        <f t="shared" si="4"/>
        <v>14.18000031</v>
      </c>
      <c r="I24" s="5">
        <f t="shared" si="5"/>
        <v>14</v>
      </c>
      <c r="J24" s="5">
        <v>93.78221635</v>
      </c>
      <c r="K24" s="5">
        <f t="shared" si="6"/>
        <v>93.8</v>
      </c>
      <c r="L24" s="5">
        <v>0.0</v>
      </c>
      <c r="M24" s="5">
        <v>6.217783652</v>
      </c>
      <c r="N24" s="5">
        <v>0.0</v>
      </c>
      <c r="O24" s="5" t="s">
        <v>25</v>
      </c>
      <c r="P24" s="5" t="s">
        <v>25</v>
      </c>
      <c r="Q24" s="5" t="s">
        <v>25</v>
      </c>
      <c r="R24" s="5" t="s">
        <v>25</v>
      </c>
      <c r="S24" s="5" t="s">
        <v>25</v>
      </c>
      <c r="T24" s="5" t="s">
        <v>25</v>
      </c>
      <c r="U24" s="5" t="s">
        <v>25</v>
      </c>
      <c r="V24" s="5" t="s">
        <v>25</v>
      </c>
      <c r="W24" s="7">
        <f t="shared" si="7"/>
        <v>22</v>
      </c>
    </row>
    <row r="25">
      <c r="A25" s="5" t="s">
        <v>85</v>
      </c>
      <c r="B25" s="5" t="s">
        <v>79</v>
      </c>
      <c r="C25" s="5">
        <v>18.09199905</v>
      </c>
      <c r="D25" s="5">
        <f t="shared" si="1"/>
        <v>1</v>
      </c>
      <c r="E25" s="5">
        <v>80.98799896</v>
      </c>
      <c r="F25" s="5">
        <f t="shared" si="2"/>
        <v>81</v>
      </c>
      <c r="G25" s="5">
        <f t="shared" si="3"/>
        <v>14.652348</v>
      </c>
      <c r="H25" s="5">
        <f t="shared" si="4"/>
        <v>19.01200104</v>
      </c>
      <c r="I25" s="5">
        <f t="shared" si="5"/>
        <v>19</v>
      </c>
      <c r="J25" s="5">
        <v>99.6575455</v>
      </c>
      <c r="K25" s="5">
        <f t="shared" si="6"/>
        <v>99.7</v>
      </c>
      <c r="L25" s="5">
        <v>0.0</v>
      </c>
      <c r="M25" s="5">
        <v>0.3424544984</v>
      </c>
      <c r="N25" s="5">
        <v>0.0</v>
      </c>
      <c r="O25" s="5">
        <v>99.75698503</v>
      </c>
      <c r="P25" s="5">
        <v>0.0</v>
      </c>
      <c r="Q25" s="5">
        <v>0.2430149677</v>
      </c>
      <c r="R25" s="5">
        <v>0.0</v>
      </c>
      <c r="S25" s="5">
        <v>99.63420199</v>
      </c>
      <c r="T25" s="5">
        <v>0.0</v>
      </c>
      <c r="U25" s="5">
        <v>0.3657980078</v>
      </c>
      <c r="V25" s="5">
        <v>0.0</v>
      </c>
      <c r="W25" s="7">
        <f t="shared" si="7"/>
        <v>22</v>
      </c>
    </row>
    <row r="26">
      <c r="A26" s="5" t="s">
        <v>86</v>
      </c>
      <c r="B26" s="5" t="s">
        <v>25</v>
      </c>
      <c r="C26" s="5">
        <v>3.48300004</v>
      </c>
      <c r="D26" s="5">
        <f t="shared" si="1"/>
        <v>1</v>
      </c>
      <c r="E26" s="5">
        <v>78.50799561</v>
      </c>
      <c r="F26" s="5">
        <f t="shared" si="2"/>
        <v>79</v>
      </c>
      <c r="G26" s="5">
        <f t="shared" si="3"/>
        <v>2.734433518</v>
      </c>
      <c r="H26" s="5">
        <f t="shared" si="4"/>
        <v>21.49200439</v>
      </c>
      <c r="I26" s="5">
        <f t="shared" si="5"/>
        <v>21</v>
      </c>
      <c r="J26" s="5">
        <v>95.3089274</v>
      </c>
      <c r="K26" s="5">
        <f t="shared" si="6"/>
        <v>95.3</v>
      </c>
      <c r="L26" s="5">
        <v>0.0</v>
      </c>
      <c r="M26" s="5">
        <v>4.691072596</v>
      </c>
      <c r="N26" s="5">
        <v>0.0</v>
      </c>
      <c r="O26" s="5">
        <v>78.17294282</v>
      </c>
      <c r="P26" s="5">
        <v>0.0</v>
      </c>
      <c r="Q26" s="5">
        <v>21.82705718</v>
      </c>
      <c r="R26" s="5">
        <v>0.0</v>
      </c>
      <c r="S26" s="5">
        <v>100.0</v>
      </c>
      <c r="T26" s="5">
        <v>0.0</v>
      </c>
      <c r="U26" s="5">
        <v>0.0</v>
      </c>
      <c r="V26" s="5">
        <v>0.0</v>
      </c>
      <c r="W26" s="7">
        <f t="shared" si="7"/>
        <v>22</v>
      </c>
    </row>
    <row r="27">
      <c r="A27" s="5" t="s">
        <v>87</v>
      </c>
      <c r="B27" s="5" t="s">
        <v>43</v>
      </c>
      <c r="C27" s="5">
        <v>437.4830017</v>
      </c>
      <c r="D27" s="5">
        <f t="shared" si="1"/>
        <v>1</v>
      </c>
      <c r="E27" s="5">
        <v>78.25000763</v>
      </c>
      <c r="F27" s="5">
        <f t="shared" si="2"/>
        <v>78</v>
      </c>
      <c r="G27" s="5">
        <f t="shared" si="3"/>
        <v>342.3304822</v>
      </c>
      <c r="H27" s="5">
        <f t="shared" si="4"/>
        <v>21.74999237</v>
      </c>
      <c r="I27" s="5">
        <f t="shared" si="5"/>
        <v>22</v>
      </c>
      <c r="J27" s="5">
        <v>99.9000368</v>
      </c>
      <c r="K27" s="5">
        <f t="shared" si="6"/>
        <v>99.9</v>
      </c>
      <c r="L27" s="5">
        <v>0.0</v>
      </c>
      <c r="M27" s="5">
        <v>0.09996320036</v>
      </c>
      <c r="N27" s="5">
        <v>0.0</v>
      </c>
      <c r="O27" s="5" t="s">
        <v>25</v>
      </c>
      <c r="P27" s="5" t="s">
        <v>25</v>
      </c>
      <c r="Q27" s="5" t="s">
        <v>25</v>
      </c>
      <c r="R27" s="5" t="s">
        <v>25</v>
      </c>
      <c r="S27" s="5">
        <v>99.65</v>
      </c>
      <c r="T27" s="5">
        <v>0.0</v>
      </c>
      <c r="U27" s="5">
        <v>0.35</v>
      </c>
      <c r="V27" s="5">
        <v>0.0</v>
      </c>
      <c r="W27" s="7">
        <f t="shared" si="7"/>
        <v>22</v>
      </c>
    </row>
    <row r="28">
      <c r="A28" s="5" t="s">
        <v>88</v>
      </c>
      <c r="B28" s="5" t="s">
        <v>89</v>
      </c>
      <c r="C28" s="5">
        <v>988.0020142</v>
      </c>
      <c r="D28" s="5">
        <f t="shared" si="1"/>
        <v>1</v>
      </c>
      <c r="E28" s="5">
        <v>78.06199646</v>
      </c>
      <c r="F28" s="5">
        <f t="shared" si="2"/>
        <v>78</v>
      </c>
      <c r="G28" s="5">
        <f t="shared" si="3"/>
        <v>771.2540973</v>
      </c>
      <c r="H28" s="5">
        <f t="shared" si="4"/>
        <v>21.93800354</v>
      </c>
      <c r="I28" s="5">
        <f t="shared" si="5"/>
        <v>22</v>
      </c>
      <c r="J28" s="5">
        <v>76.04992021</v>
      </c>
      <c r="K28" s="5">
        <f t="shared" si="6"/>
        <v>76</v>
      </c>
      <c r="L28" s="5">
        <v>14.7574817</v>
      </c>
      <c r="M28" s="5">
        <v>7.015876051</v>
      </c>
      <c r="N28" s="5">
        <v>2.176722038</v>
      </c>
      <c r="O28" s="5">
        <v>47.28073293</v>
      </c>
      <c r="P28" s="5">
        <v>12.06161014</v>
      </c>
      <c r="Q28" s="5">
        <v>30.73550468</v>
      </c>
      <c r="R28" s="5">
        <v>9.922152249</v>
      </c>
      <c r="S28" s="5">
        <v>84.13501493</v>
      </c>
      <c r="T28" s="5">
        <v>15.51511107</v>
      </c>
      <c r="U28" s="5">
        <v>0.3498740029</v>
      </c>
      <c r="V28" s="5">
        <v>0.0</v>
      </c>
      <c r="W28" s="7">
        <f t="shared" si="7"/>
        <v>22</v>
      </c>
    </row>
    <row r="29">
      <c r="A29" s="5" t="s">
        <v>90</v>
      </c>
      <c r="B29" s="5" t="s">
        <v>25</v>
      </c>
      <c r="C29" s="5">
        <v>17.56399918</v>
      </c>
      <c r="D29" s="5">
        <f t="shared" si="1"/>
        <v>1</v>
      </c>
      <c r="E29" s="5">
        <v>75.49500275</v>
      </c>
      <c r="F29" s="5">
        <f t="shared" si="2"/>
        <v>75</v>
      </c>
      <c r="G29" s="5">
        <f t="shared" si="3"/>
        <v>13.25994166</v>
      </c>
      <c r="H29" s="5">
        <f t="shared" si="4"/>
        <v>24.50499725</v>
      </c>
      <c r="I29" s="5">
        <f t="shared" si="5"/>
        <v>25</v>
      </c>
      <c r="J29" s="5">
        <v>99.97161022</v>
      </c>
      <c r="K29" s="5">
        <f t="shared" si="6"/>
        <v>100</v>
      </c>
      <c r="L29" s="5">
        <v>0.0</v>
      </c>
      <c r="M29" s="5">
        <v>0.0283897827</v>
      </c>
      <c r="N29" s="5">
        <v>0.0</v>
      </c>
      <c r="O29" s="5" t="s">
        <v>25</v>
      </c>
      <c r="P29" s="5" t="s">
        <v>25</v>
      </c>
      <c r="Q29" s="5" t="s">
        <v>25</v>
      </c>
      <c r="R29" s="5" t="s">
        <v>25</v>
      </c>
      <c r="S29" s="5" t="s">
        <v>25</v>
      </c>
      <c r="T29" s="5" t="s">
        <v>25</v>
      </c>
      <c r="U29" s="5" t="s">
        <v>25</v>
      </c>
      <c r="V29" s="5" t="s">
        <v>25</v>
      </c>
      <c r="W29" s="7">
        <f t="shared" si="7"/>
        <v>22</v>
      </c>
    </row>
    <row r="30">
      <c r="A30" s="5" t="s">
        <v>91</v>
      </c>
      <c r="B30" s="5" t="s">
        <v>89</v>
      </c>
      <c r="C30" s="5">
        <v>219.1609955</v>
      </c>
      <c r="D30" s="5">
        <f t="shared" si="1"/>
        <v>1</v>
      </c>
      <c r="E30" s="5">
        <v>74.35400391</v>
      </c>
      <c r="F30" s="5">
        <f t="shared" si="2"/>
        <v>74</v>
      </c>
      <c r="G30" s="5">
        <f t="shared" si="3"/>
        <v>162.9549752</v>
      </c>
      <c r="H30" s="5">
        <f t="shared" si="4"/>
        <v>25.64599609</v>
      </c>
      <c r="I30" s="5">
        <f t="shared" si="5"/>
        <v>26</v>
      </c>
      <c r="J30" s="5">
        <v>78.22645516</v>
      </c>
      <c r="K30" s="5">
        <f t="shared" si="6"/>
        <v>78.2</v>
      </c>
      <c r="L30" s="5">
        <v>20.23798298</v>
      </c>
      <c r="M30" s="5">
        <v>0.4435199284</v>
      </c>
      <c r="N30" s="5">
        <v>1.09204193</v>
      </c>
      <c r="O30" s="5">
        <v>74.30061449</v>
      </c>
      <c r="P30" s="5">
        <v>19.71184258</v>
      </c>
      <c r="Q30" s="5">
        <v>1.729405704</v>
      </c>
      <c r="R30" s="5">
        <v>4.258137228</v>
      </c>
      <c r="S30" s="5">
        <v>79.5805429</v>
      </c>
      <c r="T30" s="5">
        <v>20.4194571</v>
      </c>
      <c r="U30" s="5">
        <v>0.0</v>
      </c>
      <c r="V30" s="5">
        <v>0.0</v>
      </c>
      <c r="W30" s="7">
        <f t="shared" si="7"/>
        <v>22</v>
      </c>
    </row>
    <row r="31">
      <c r="A31" s="5" t="s">
        <v>92</v>
      </c>
      <c r="B31" s="5" t="s">
        <v>43</v>
      </c>
      <c r="C31" s="5">
        <v>285.4909973</v>
      </c>
      <c r="D31" s="5">
        <f t="shared" si="1"/>
        <v>1</v>
      </c>
      <c r="E31" s="5">
        <v>71.51799774</v>
      </c>
      <c r="F31" s="5">
        <f t="shared" si="2"/>
        <v>72</v>
      </c>
      <c r="G31" s="5">
        <f t="shared" si="3"/>
        <v>204.177445</v>
      </c>
      <c r="H31" s="5">
        <f t="shared" si="4"/>
        <v>28.48200226</v>
      </c>
      <c r="I31" s="5">
        <f t="shared" si="5"/>
        <v>28</v>
      </c>
      <c r="J31" s="5">
        <v>99.30532057</v>
      </c>
      <c r="K31" s="5">
        <f t="shared" si="6"/>
        <v>99.3</v>
      </c>
      <c r="L31" s="5">
        <v>0.0</v>
      </c>
      <c r="M31" s="5">
        <v>0.6946794278</v>
      </c>
      <c r="N31" s="5">
        <v>0.0</v>
      </c>
      <c r="O31" s="5" t="s">
        <v>25</v>
      </c>
      <c r="P31" s="5" t="s">
        <v>25</v>
      </c>
      <c r="Q31" s="5" t="s">
        <v>25</v>
      </c>
      <c r="R31" s="5" t="s">
        <v>25</v>
      </c>
      <c r="S31" s="5" t="s">
        <v>25</v>
      </c>
      <c r="T31" s="5" t="s">
        <v>25</v>
      </c>
      <c r="U31" s="5" t="s">
        <v>25</v>
      </c>
      <c r="V31" s="5" t="s">
        <v>25</v>
      </c>
      <c r="W31" s="7">
        <f t="shared" si="7"/>
        <v>22</v>
      </c>
    </row>
    <row r="32">
      <c r="A32" s="5" t="s">
        <v>93</v>
      </c>
      <c r="B32" s="5" t="s">
        <v>89</v>
      </c>
      <c r="C32" s="5">
        <v>555.9879761</v>
      </c>
      <c r="D32" s="5">
        <f t="shared" si="1"/>
        <v>1</v>
      </c>
      <c r="E32" s="5">
        <v>66.65200043</v>
      </c>
      <c r="F32" s="5">
        <f t="shared" si="2"/>
        <v>67</v>
      </c>
      <c r="G32" s="5">
        <f t="shared" si="3"/>
        <v>370.5771082</v>
      </c>
      <c r="H32" s="5">
        <f t="shared" si="4"/>
        <v>33.34799957</v>
      </c>
      <c r="I32" s="5">
        <f t="shared" si="5"/>
        <v>33</v>
      </c>
      <c r="J32" s="5">
        <v>88.76960642</v>
      </c>
      <c r="K32" s="5">
        <f t="shared" si="6"/>
        <v>88.8</v>
      </c>
      <c r="L32" s="5">
        <v>3.209147716</v>
      </c>
      <c r="M32" s="5">
        <v>0.1170950144</v>
      </c>
      <c r="N32" s="5">
        <v>80.11452544</v>
      </c>
      <c r="O32" s="5">
        <v>9.911127022</v>
      </c>
      <c r="P32" s="5">
        <v>9.623217003</v>
      </c>
      <c r="Q32" s="5">
        <v>0.3511305397</v>
      </c>
      <c r="R32" s="5">
        <v>93.1</v>
      </c>
      <c r="S32" s="5">
        <v>6.9</v>
      </c>
      <c r="T32" s="5">
        <v>0.0</v>
      </c>
      <c r="U32" s="5">
        <v>0.0</v>
      </c>
      <c r="V32" s="5" t="s">
        <v>25</v>
      </c>
      <c r="W32" s="7">
        <f t="shared" si="7"/>
        <v>22</v>
      </c>
    </row>
    <row r="33">
      <c r="A33" s="5" t="s">
        <v>94</v>
      </c>
      <c r="B33" s="5" t="s">
        <v>79</v>
      </c>
      <c r="C33" s="5">
        <v>628.0620117</v>
      </c>
      <c r="D33" s="5">
        <f t="shared" si="1"/>
        <v>1</v>
      </c>
      <c r="E33" s="5">
        <v>67.48800659</v>
      </c>
      <c r="F33" s="5">
        <f t="shared" si="2"/>
        <v>67</v>
      </c>
      <c r="G33" s="5">
        <f t="shared" si="3"/>
        <v>423.8665318</v>
      </c>
      <c r="H33" s="5">
        <f t="shared" si="4"/>
        <v>32.51199341</v>
      </c>
      <c r="I33" s="5">
        <f t="shared" si="5"/>
        <v>33</v>
      </c>
      <c r="J33" s="5">
        <v>98.85691652</v>
      </c>
      <c r="K33" s="5">
        <f t="shared" si="6"/>
        <v>98.9</v>
      </c>
      <c r="L33" s="5">
        <v>0.5454788204</v>
      </c>
      <c r="M33" s="5">
        <v>0.592312011</v>
      </c>
      <c r="N33" s="5">
        <v>0.005292650894</v>
      </c>
      <c r="O33" s="5">
        <v>98.16188754</v>
      </c>
      <c r="P33" s="5">
        <v>0.0</v>
      </c>
      <c r="Q33" s="5">
        <v>1.821833386</v>
      </c>
      <c r="R33" s="5">
        <v>0.01627906977</v>
      </c>
      <c r="S33" s="5">
        <v>99.19173959</v>
      </c>
      <c r="T33" s="5">
        <v>0.8082604128</v>
      </c>
      <c r="U33" s="5">
        <v>0.0</v>
      </c>
      <c r="V33" s="5">
        <v>0.0</v>
      </c>
      <c r="W33" s="7">
        <f t="shared" si="7"/>
        <v>22</v>
      </c>
    </row>
    <row r="34">
      <c r="A34" s="5" t="s">
        <v>95</v>
      </c>
      <c r="B34" s="5" t="s">
        <v>79</v>
      </c>
      <c r="C34" s="5">
        <v>586.6339722</v>
      </c>
      <c r="D34" s="5">
        <f t="shared" si="1"/>
        <v>1</v>
      </c>
      <c r="E34" s="5">
        <v>66.14900208</v>
      </c>
      <c r="F34" s="5">
        <f t="shared" si="2"/>
        <v>66</v>
      </c>
      <c r="G34" s="5">
        <f t="shared" si="3"/>
        <v>388.0525185</v>
      </c>
      <c r="H34" s="5">
        <f t="shared" si="4"/>
        <v>33.85099792</v>
      </c>
      <c r="I34" s="5">
        <f t="shared" si="5"/>
        <v>34</v>
      </c>
      <c r="J34" s="5">
        <v>97.98963167</v>
      </c>
      <c r="K34" s="5">
        <f t="shared" si="6"/>
        <v>98</v>
      </c>
      <c r="L34" s="5">
        <v>1.067246941</v>
      </c>
      <c r="M34" s="5">
        <v>0.3793365073</v>
      </c>
      <c r="N34" s="5">
        <v>0.563784884</v>
      </c>
      <c r="O34" s="5">
        <v>96.57441263</v>
      </c>
      <c r="P34" s="5">
        <v>1.60029586</v>
      </c>
      <c r="Q34" s="5">
        <v>0.1598017947</v>
      </c>
      <c r="R34" s="5">
        <v>1.66548972</v>
      </c>
      <c r="S34" s="5">
        <v>98.71385387</v>
      </c>
      <c r="T34" s="5">
        <v>0.7944652371</v>
      </c>
      <c r="U34" s="5">
        <v>0.4916808925</v>
      </c>
      <c r="V34" s="5">
        <v>0.0</v>
      </c>
      <c r="W34" s="7">
        <f t="shared" si="7"/>
        <v>22</v>
      </c>
    </row>
    <row r="35">
      <c r="A35" s="5" t="s">
        <v>96</v>
      </c>
      <c r="B35" s="5" t="s">
        <v>79</v>
      </c>
      <c r="C35" s="5">
        <v>11.79199982</v>
      </c>
      <c r="D35" s="5">
        <f t="shared" si="1"/>
        <v>1</v>
      </c>
      <c r="E35" s="5">
        <v>64.01399994</v>
      </c>
      <c r="F35" s="5">
        <f t="shared" si="2"/>
        <v>64</v>
      </c>
      <c r="G35" s="5">
        <f t="shared" si="3"/>
        <v>7.548530758</v>
      </c>
      <c r="H35" s="5">
        <f t="shared" si="4"/>
        <v>35.98600006</v>
      </c>
      <c r="I35" s="5">
        <f t="shared" si="5"/>
        <v>36</v>
      </c>
      <c r="J35" s="5">
        <v>100.0</v>
      </c>
      <c r="K35" s="5">
        <f t="shared" si="6"/>
        <v>100</v>
      </c>
      <c r="L35" s="5">
        <v>0.0</v>
      </c>
      <c r="M35" s="5">
        <v>0.0</v>
      </c>
      <c r="N35" s="5">
        <v>0.0</v>
      </c>
      <c r="O35" s="5">
        <v>100.0</v>
      </c>
      <c r="P35" s="5">
        <v>0.0</v>
      </c>
      <c r="Q35" s="5">
        <v>0.0</v>
      </c>
      <c r="R35" s="5">
        <v>0.0</v>
      </c>
      <c r="S35" s="5">
        <v>100.0</v>
      </c>
      <c r="T35" s="5">
        <v>0.0</v>
      </c>
      <c r="U35" s="5">
        <v>0.0</v>
      </c>
      <c r="V35" s="5">
        <v>0.0</v>
      </c>
      <c r="W35" s="7">
        <f t="shared" si="7"/>
        <v>22</v>
      </c>
    </row>
    <row r="36">
      <c r="A36" s="5" t="s">
        <v>97</v>
      </c>
      <c r="B36" s="5" t="s">
        <v>43</v>
      </c>
      <c r="C36" s="5">
        <v>280.9039917</v>
      </c>
      <c r="D36" s="5">
        <f t="shared" si="1"/>
        <v>1</v>
      </c>
      <c r="E36" s="5">
        <v>61.97500229</v>
      </c>
      <c r="F36" s="5">
        <f t="shared" si="2"/>
        <v>62</v>
      </c>
      <c r="G36" s="5">
        <f t="shared" si="3"/>
        <v>174.0902553</v>
      </c>
      <c r="H36" s="5">
        <f t="shared" si="4"/>
        <v>38.02499771</v>
      </c>
      <c r="I36" s="5">
        <f t="shared" si="5"/>
        <v>38</v>
      </c>
      <c r="J36" s="5">
        <v>100.0</v>
      </c>
      <c r="K36" s="5">
        <f t="shared" si="6"/>
        <v>100</v>
      </c>
      <c r="L36" s="5">
        <v>0.0</v>
      </c>
      <c r="M36" s="5">
        <v>0.0</v>
      </c>
      <c r="N36" s="5">
        <v>0.0</v>
      </c>
      <c r="O36" s="5" t="s">
        <v>25</v>
      </c>
      <c r="P36" s="5" t="s">
        <v>25</v>
      </c>
      <c r="Q36" s="5" t="s">
        <v>25</v>
      </c>
      <c r="R36" s="5" t="s">
        <v>25</v>
      </c>
      <c r="S36" s="5" t="s">
        <v>25</v>
      </c>
      <c r="T36" s="5" t="s">
        <v>25</v>
      </c>
      <c r="U36" s="5" t="s">
        <v>25</v>
      </c>
      <c r="V36" s="5" t="s">
        <v>25</v>
      </c>
      <c r="W36" s="7">
        <f t="shared" si="7"/>
        <v>22</v>
      </c>
    </row>
    <row r="37">
      <c r="A37" s="5" t="s">
        <v>98</v>
      </c>
      <c r="B37" s="5" t="s">
        <v>79</v>
      </c>
      <c r="C37" s="5">
        <v>896.4439697</v>
      </c>
      <c r="D37" s="5">
        <f t="shared" si="1"/>
        <v>1</v>
      </c>
      <c r="E37" s="5">
        <v>57.24700546</v>
      </c>
      <c r="F37" s="5">
        <f t="shared" si="2"/>
        <v>57</v>
      </c>
      <c r="G37" s="5">
        <f t="shared" si="3"/>
        <v>513.1873283</v>
      </c>
      <c r="H37" s="5">
        <f t="shared" si="4"/>
        <v>42.75299454</v>
      </c>
      <c r="I37" s="5">
        <f t="shared" si="5"/>
        <v>43</v>
      </c>
      <c r="J37" s="5">
        <v>94.30106524</v>
      </c>
      <c r="K37" s="5">
        <f t="shared" si="6"/>
        <v>94.3</v>
      </c>
      <c r="L37" s="5">
        <v>0.0</v>
      </c>
      <c r="M37" s="5">
        <v>3.318602766</v>
      </c>
      <c r="N37" s="5">
        <v>2.380331999</v>
      </c>
      <c r="O37" s="5">
        <v>89.08802405</v>
      </c>
      <c r="P37" s="5">
        <v>0.0</v>
      </c>
      <c r="Q37" s="5">
        <v>5.759897938</v>
      </c>
      <c r="R37" s="5">
        <v>5.152078012</v>
      </c>
      <c r="S37" s="5">
        <v>98.19424406</v>
      </c>
      <c r="T37" s="5">
        <v>0.0</v>
      </c>
      <c r="U37" s="5">
        <v>1.495409344</v>
      </c>
      <c r="V37" s="5">
        <v>0.3103465922</v>
      </c>
      <c r="W37" s="7">
        <f t="shared" si="7"/>
        <v>22</v>
      </c>
    </row>
    <row r="38">
      <c r="A38" s="5" t="s">
        <v>99</v>
      </c>
      <c r="B38" s="5" t="s">
        <v>89</v>
      </c>
      <c r="C38" s="5">
        <v>119.4459991</v>
      </c>
      <c r="D38" s="5">
        <f t="shared" si="1"/>
        <v>1</v>
      </c>
      <c r="E38" s="5">
        <v>55.59399796</v>
      </c>
      <c r="F38" s="5">
        <f t="shared" si="2"/>
        <v>56</v>
      </c>
      <c r="G38" s="5">
        <f t="shared" si="3"/>
        <v>66.4048063</v>
      </c>
      <c r="H38" s="5">
        <f t="shared" si="4"/>
        <v>44.40600204</v>
      </c>
      <c r="I38" s="5">
        <f t="shared" si="5"/>
        <v>44</v>
      </c>
      <c r="J38" s="5">
        <v>77.97092085</v>
      </c>
      <c r="K38" s="5">
        <f t="shared" si="6"/>
        <v>78</v>
      </c>
      <c r="L38" s="5">
        <v>4.076899625</v>
      </c>
      <c r="M38" s="5">
        <v>17.95217953</v>
      </c>
      <c r="N38" s="5">
        <v>0.0</v>
      </c>
      <c r="O38" s="5">
        <v>60.99418489</v>
      </c>
      <c r="P38" s="5">
        <v>2.096609799</v>
      </c>
      <c r="Q38" s="5">
        <v>36.90920532</v>
      </c>
      <c r="R38" s="5">
        <v>0.0</v>
      </c>
      <c r="S38" s="5">
        <v>91.53117485</v>
      </c>
      <c r="T38" s="5">
        <v>5.658666461</v>
      </c>
      <c r="U38" s="5">
        <v>2.810158691</v>
      </c>
      <c r="V38" s="5">
        <v>0.0</v>
      </c>
      <c r="W38" s="7">
        <f t="shared" si="7"/>
        <v>22</v>
      </c>
    </row>
    <row r="39">
      <c r="A39" s="5" t="s">
        <v>100</v>
      </c>
      <c r="B39" s="5" t="s">
        <v>43</v>
      </c>
      <c r="C39" s="5">
        <v>85.03199768</v>
      </c>
      <c r="D39" s="5">
        <f t="shared" si="1"/>
        <v>1</v>
      </c>
      <c r="E39" s="5">
        <v>52.89800262</v>
      </c>
      <c r="F39" s="5">
        <f t="shared" si="2"/>
        <v>53</v>
      </c>
      <c r="G39" s="5">
        <f t="shared" si="3"/>
        <v>44.98022836</v>
      </c>
      <c r="H39" s="5">
        <f t="shared" si="4"/>
        <v>47.10199738</v>
      </c>
      <c r="I39" s="5">
        <f t="shared" si="5"/>
        <v>47</v>
      </c>
      <c r="J39" s="5">
        <v>99.075</v>
      </c>
      <c r="K39" s="5">
        <f t="shared" si="6"/>
        <v>99.1</v>
      </c>
      <c r="L39" s="5">
        <v>0.0</v>
      </c>
      <c r="M39" s="5">
        <v>0.925</v>
      </c>
      <c r="N39" s="5">
        <v>0.0</v>
      </c>
      <c r="O39" s="5" t="s">
        <v>25</v>
      </c>
      <c r="P39" s="5" t="s">
        <v>25</v>
      </c>
      <c r="Q39" s="5" t="s">
        <v>25</v>
      </c>
      <c r="R39" s="5" t="s">
        <v>25</v>
      </c>
      <c r="S39" s="5" t="s">
        <v>25</v>
      </c>
      <c r="T39" s="5" t="s">
        <v>25</v>
      </c>
      <c r="U39" s="5" t="s">
        <v>25</v>
      </c>
      <c r="V39" s="5" t="s">
        <v>25</v>
      </c>
      <c r="W39" s="7">
        <f t="shared" si="7"/>
        <v>22</v>
      </c>
    </row>
    <row r="40">
      <c r="A40" s="5" t="s">
        <v>101</v>
      </c>
      <c r="B40" s="5" t="s">
        <v>43</v>
      </c>
      <c r="C40" s="5">
        <v>30.23699951</v>
      </c>
      <c r="D40" s="5">
        <f t="shared" si="1"/>
        <v>1</v>
      </c>
      <c r="E40" s="5">
        <v>48.51499939</v>
      </c>
      <c r="F40" s="5">
        <f t="shared" si="2"/>
        <v>49</v>
      </c>
      <c r="G40" s="5">
        <f t="shared" si="3"/>
        <v>14.66948013</v>
      </c>
      <c r="H40" s="5">
        <f t="shared" si="4"/>
        <v>51.48500061</v>
      </c>
      <c r="I40" s="5">
        <f t="shared" si="5"/>
        <v>51</v>
      </c>
      <c r="J40" s="5">
        <v>99.86438356</v>
      </c>
      <c r="K40" s="5">
        <f t="shared" si="6"/>
        <v>99.9</v>
      </c>
      <c r="L40" s="5">
        <v>0.0</v>
      </c>
      <c r="M40" s="5">
        <v>0.1356164384</v>
      </c>
      <c r="N40" s="5">
        <v>0.0</v>
      </c>
      <c r="O40" s="5" t="s">
        <v>25</v>
      </c>
      <c r="P40" s="5" t="s">
        <v>25</v>
      </c>
      <c r="Q40" s="5" t="s">
        <v>25</v>
      </c>
      <c r="R40" s="5" t="s">
        <v>25</v>
      </c>
      <c r="S40" s="5" t="s">
        <v>25</v>
      </c>
      <c r="T40" s="5" t="s">
        <v>25</v>
      </c>
      <c r="U40" s="5" t="s">
        <v>25</v>
      </c>
      <c r="V40" s="5" t="s">
        <v>25</v>
      </c>
      <c r="W40" s="7">
        <f t="shared" si="7"/>
        <v>22</v>
      </c>
    </row>
    <row r="41">
      <c r="A41" s="5" t="s">
        <v>102</v>
      </c>
      <c r="B41" s="5" t="s">
        <v>25</v>
      </c>
      <c r="C41" s="5">
        <v>1.618000031</v>
      </c>
      <c r="D41" s="5">
        <f t="shared" si="1"/>
        <v>1</v>
      </c>
      <c r="E41" s="5">
        <v>46.20200348</v>
      </c>
      <c r="F41" s="5">
        <f t="shared" si="2"/>
        <v>46</v>
      </c>
      <c r="G41" s="5">
        <f t="shared" si="3"/>
        <v>0.7475484306</v>
      </c>
      <c r="H41" s="5">
        <f t="shared" si="4"/>
        <v>53.79799652</v>
      </c>
      <c r="I41" s="5">
        <f t="shared" si="5"/>
        <v>54</v>
      </c>
      <c r="J41" s="5">
        <v>97.01087618</v>
      </c>
      <c r="K41" s="5">
        <f t="shared" si="6"/>
        <v>97</v>
      </c>
      <c r="L41" s="5">
        <v>0.0</v>
      </c>
      <c r="M41" s="5">
        <v>2.989123822</v>
      </c>
      <c r="N41" s="5">
        <v>0.0</v>
      </c>
      <c r="O41" s="5" t="s">
        <v>25</v>
      </c>
      <c r="P41" s="5" t="s">
        <v>25</v>
      </c>
      <c r="Q41" s="5" t="s">
        <v>25</v>
      </c>
      <c r="R41" s="5" t="s">
        <v>25</v>
      </c>
      <c r="S41" s="5" t="s">
        <v>25</v>
      </c>
      <c r="T41" s="5" t="s">
        <v>25</v>
      </c>
      <c r="U41" s="5" t="s">
        <v>25</v>
      </c>
      <c r="V41" s="5" t="s">
        <v>25</v>
      </c>
      <c r="W41" s="7">
        <f t="shared" si="7"/>
        <v>22</v>
      </c>
    </row>
    <row r="42">
      <c r="A42" s="5" t="s">
        <v>103</v>
      </c>
      <c r="B42" s="5" t="s">
        <v>25</v>
      </c>
      <c r="C42" s="5">
        <v>272.8129883</v>
      </c>
      <c r="D42" s="5">
        <f t="shared" si="1"/>
        <v>1</v>
      </c>
      <c r="E42" s="5">
        <v>45.75099945</v>
      </c>
      <c r="F42" s="5">
        <f t="shared" si="2"/>
        <v>46</v>
      </c>
      <c r="G42" s="5">
        <f t="shared" si="3"/>
        <v>124.8146688</v>
      </c>
      <c r="H42" s="5">
        <f t="shared" si="4"/>
        <v>54.24900055</v>
      </c>
      <c r="I42" s="5">
        <f t="shared" si="5"/>
        <v>54</v>
      </c>
      <c r="J42" s="5">
        <v>96.37117971</v>
      </c>
      <c r="K42" s="5">
        <f t="shared" si="6"/>
        <v>96.4</v>
      </c>
      <c r="L42" s="5">
        <v>0.0</v>
      </c>
      <c r="M42" s="5">
        <v>3.628820295</v>
      </c>
      <c r="N42" s="5" t="s">
        <v>25</v>
      </c>
      <c r="O42" s="5" t="s">
        <v>25</v>
      </c>
      <c r="P42" s="5" t="s">
        <v>25</v>
      </c>
      <c r="Q42" s="5" t="s">
        <v>25</v>
      </c>
      <c r="R42" s="5" t="s">
        <v>25</v>
      </c>
      <c r="S42" s="5" t="s">
        <v>25</v>
      </c>
      <c r="T42" s="5" t="s">
        <v>25</v>
      </c>
      <c r="U42" s="5" t="s">
        <v>25</v>
      </c>
      <c r="V42" s="5" t="s">
        <v>25</v>
      </c>
      <c r="W42" s="7">
        <f t="shared" si="7"/>
        <v>22</v>
      </c>
    </row>
    <row r="43">
      <c r="A43" s="5" t="s">
        <v>104</v>
      </c>
      <c r="B43" s="5" t="s">
        <v>79</v>
      </c>
      <c r="C43" s="5">
        <v>397.6210022</v>
      </c>
      <c r="D43" s="5">
        <f t="shared" si="1"/>
        <v>1</v>
      </c>
      <c r="E43" s="5">
        <v>46.02500153</v>
      </c>
      <c r="F43" s="5">
        <f t="shared" si="2"/>
        <v>46</v>
      </c>
      <c r="G43" s="5">
        <f t="shared" si="3"/>
        <v>183.0050723</v>
      </c>
      <c r="H43" s="5">
        <f t="shared" si="4"/>
        <v>53.97499847</v>
      </c>
      <c r="I43" s="5">
        <f t="shared" si="5"/>
        <v>54</v>
      </c>
      <c r="J43" s="5">
        <v>98.40195463</v>
      </c>
      <c r="K43" s="5">
        <f t="shared" si="6"/>
        <v>98.4</v>
      </c>
      <c r="L43" s="5">
        <v>1.249110629</v>
      </c>
      <c r="M43" s="5">
        <v>0.3489347411</v>
      </c>
      <c r="N43" s="5">
        <v>0.0</v>
      </c>
      <c r="O43" s="5">
        <v>97.99520758</v>
      </c>
      <c r="P43" s="5">
        <v>1.358317682</v>
      </c>
      <c r="Q43" s="5">
        <v>0.6464747393</v>
      </c>
      <c r="R43" s="5">
        <v>0.0</v>
      </c>
      <c r="S43" s="5">
        <v>98.87896</v>
      </c>
      <c r="T43" s="5">
        <v>1.12104</v>
      </c>
      <c r="U43" s="5">
        <v>0.0</v>
      </c>
      <c r="V43" s="5">
        <v>0.0</v>
      </c>
      <c r="W43" s="7">
        <f t="shared" si="7"/>
        <v>22</v>
      </c>
    </row>
    <row r="44">
      <c r="A44" s="5" t="s">
        <v>105</v>
      </c>
      <c r="B44" s="5" t="s">
        <v>43</v>
      </c>
      <c r="C44" s="5">
        <v>48.86500168</v>
      </c>
      <c r="D44" s="5">
        <f t="shared" si="1"/>
        <v>1</v>
      </c>
      <c r="E44" s="5">
        <v>42.39799881</v>
      </c>
      <c r="F44" s="5">
        <f t="shared" si="2"/>
        <v>42</v>
      </c>
      <c r="G44" s="5">
        <f t="shared" si="3"/>
        <v>20.71778283</v>
      </c>
      <c r="H44" s="5">
        <f t="shared" si="4"/>
        <v>57.60200119</v>
      </c>
      <c r="I44" s="5">
        <f t="shared" si="5"/>
        <v>58</v>
      </c>
      <c r="J44" s="5">
        <v>100.0</v>
      </c>
      <c r="K44" s="5">
        <f t="shared" si="6"/>
        <v>100</v>
      </c>
      <c r="L44" s="5">
        <v>0.0</v>
      </c>
      <c r="M44" s="5">
        <v>0.0</v>
      </c>
      <c r="N44" s="5">
        <v>0.0</v>
      </c>
      <c r="O44" s="5" t="s">
        <v>25</v>
      </c>
      <c r="P44" s="5" t="s">
        <v>25</v>
      </c>
      <c r="Q44" s="5" t="s">
        <v>25</v>
      </c>
      <c r="R44" s="5" t="s">
        <v>25</v>
      </c>
      <c r="S44" s="5" t="s">
        <v>25</v>
      </c>
      <c r="T44" s="5" t="s">
        <v>25</v>
      </c>
      <c r="U44" s="5" t="s">
        <v>25</v>
      </c>
      <c r="V44" s="5" t="s">
        <v>25</v>
      </c>
      <c r="W44" s="7">
        <f t="shared" si="7"/>
        <v>22</v>
      </c>
    </row>
    <row r="45">
      <c r="A45" s="5" t="s">
        <v>106</v>
      </c>
      <c r="B45" s="5" t="s">
        <v>89</v>
      </c>
      <c r="C45" s="5">
        <v>771.6119995</v>
      </c>
      <c r="D45" s="5">
        <f t="shared" si="1"/>
        <v>1</v>
      </c>
      <c r="E45" s="5">
        <v>42.31599808</v>
      </c>
      <c r="F45" s="5">
        <f t="shared" si="2"/>
        <v>42</v>
      </c>
      <c r="G45" s="5">
        <f t="shared" si="3"/>
        <v>326.5153189</v>
      </c>
      <c r="H45" s="5">
        <f t="shared" si="4"/>
        <v>57.68400192</v>
      </c>
      <c r="I45" s="5">
        <f t="shared" si="5"/>
        <v>58</v>
      </c>
      <c r="J45" s="5">
        <v>97.31322263</v>
      </c>
      <c r="K45" s="5">
        <f t="shared" si="6"/>
        <v>97.3</v>
      </c>
      <c r="L45" s="5">
        <v>2.460712607</v>
      </c>
      <c r="M45" s="5">
        <v>0.1764242183</v>
      </c>
      <c r="N45" s="5">
        <v>0.04964054142</v>
      </c>
      <c r="O45" s="5">
        <v>96.73119365</v>
      </c>
      <c r="P45" s="5">
        <v>3.268806351</v>
      </c>
      <c r="Q45" s="5">
        <v>0.0</v>
      </c>
      <c r="R45" s="5">
        <v>0.0</v>
      </c>
      <c r="S45" s="5">
        <v>98.10662849</v>
      </c>
      <c r="T45" s="5">
        <v>1.3591415</v>
      </c>
      <c r="U45" s="5">
        <v>0.4169208475</v>
      </c>
      <c r="V45" s="5">
        <v>0.1173091586</v>
      </c>
      <c r="W45" s="7">
        <f t="shared" si="7"/>
        <v>22</v>
      </c>
    </row>
    <row r="46">
      <c r="A46" s="5" t="s">
        <v>107</v>
      </c>
      <c r="B46" s="5" t="s">
        <v>79</v>
      </c>
      <c r="C46" s="5">
        <v>540.5419922</v>
      </c>
      <c r="D46" s="5">
        <f t="shared" si="1"/>
        <v>1</v>
      </c>
      <c r="E46" s="5">
        <v>40.66899872</v>
      </c>
      <c r="F46" s="5">
        <f t="shared" si="2"/>
        <v>41</v>
      </c>
      <c r="G46" s="5">
        <f t="shared" si="3"/>
        <v>219.8330159</v>
      </c>
      <c r="H46" s="5">
        <f t="shared" si="4"/>
        <v>59.33100128</v>
      </c>
      <c r="I46" s="5">
        <f t="shared" si="5"/>
        <v>59</v>
      </c>
      <c r="J46" s="5">
        <v>99.5444386</v>
      </c>
      <c r="K46" s="5">
        <f t="shared" si="6"/>
        <v>99.5</v>
      </c>
      <c r="L46" s="5">
        <v>0.0480506913</v>
      </c>
      <c r="M46" s="5">
        <v>0.407510705</v>
      </c>
      <c r="N46" s="5">
        <v>0.0</v>
      </c>
      <c r="O46" s="5">
        <v>99.9190125</v>
      </c>
      <c r="P46" s="5">
        <v>0.0809875</v>
      </c>
      <c r="Q46" s="5">
        <v>0.0</v>
      </c>
      <c r="R46" s="5">
        <v>0.0</v>
      </c>
      <c r="S46" s="5">
        <v>98.99798893</v>
      </c>
      <c r="T46" s="5">
        <v>0.0</v>
      </c>
      <c r="U46" s="5">
        <v>1.002011069</v>
      </c>
      <c r="V46" s="5">
        <v>0.0</v>
      </c>
      <c r="W46" s="7">
        <f t="shared" si="7"/>
        <v>22</v>
      </c>
    </row>
    <row r="47">
      <c r="A47" s="5" t="s">
        <v>108</v>
      </c>
      <c r="B47" s="5" t="s">
        <v>25</v>
      </c>
      <c r="C47" s="5">
        <v>6.071000099</v>
      </c>
      <c r="D47" s="5">
        <f t="shared" si="1"/>
        <v>1</v>
      </c>
      <c r="E47" s="5">
        <v>40.08200073</v>
      </c>
      <c r="F47" s="5">
        <f t="shared" si="2"/>
        <v>40</v>
      </c>
      <c r="G47" s="5">
        <f t="shared" si="3"/>
        <v>2.433378304</v>
      </c>
      <c r="H47" s="5">
        <f t="shared" si="4"/>
        <v>59.91799927</v>
      </c>
      <c r="I47" s="5">
        <f t="shared" si="5"/>
        <v>60</v>
      </c>
      <c r="J47" s="5">
        <v>99.1</v>
      </c>
      <c r="K47" s="5">
        <f t="shared" si="6"/>
        <v>99.1</v>
      </c>
      <c r="L47" s="5">
        <v>0.0</v>
      </c>
      <c r="M47" s="5">
        <v>0.9</v>
      </c>
      <c r="N47" s="5">
        <v>0.0</v>
      </c>
      <c r="O47" s="5" t="s">
        <v>25</v>
      </c>
      <c r="P47" s="5" t="s">
        <v>25</v>
      </c>
      <c r="Q47" s="5" t="s">
        <v>25</v>
      </c>
      <c r="R47" s="5" t="s">
        <v>25</v>
      </c>
      <c r="S47" s="5" t="s">
        <v>25</v>
      </c>
      <c r="T47" s="5" t="s">
        <v>25</v>
      </c>
      <c r="U47" s="5" t="s">
        <v>25</v>
      </c>
      <c r="V47" s="5" t="s">
        <v>25</v>
      </c>
      <c r="W47" s="7">
        <f t="shared" si="7"/>
        <v>22</v>
      </c>
    </row>
    <row r="48">
      <c r="A48" s="5" t="s">
        <v>109</v>
      </c>
      <c r="B48" s="5" t="s">
        <v>43</v>
      </c>
      <c r="C48" s="5">
        <v>287.3710022</v>
      </c>
      <c r="D48" s="5">
        <f t="shared" si="1"/>
        <v>1</v>
      </c>
      <c r="E48" s="5">
        <v>31.19099998</v>
      </c>
      <c r="F48" s="5">
        <f t="shared" si="2"/>
        <v>31</v>
      </c>
      <c r="G48" s="5">
        <f t="shared" si="3"/>
        <v>89.63388924</v>
      </c>
      <c r="H48" s="5">
        <f t="shared" si="4"/>
        <v>68.80900002</v>
      </c>
      <c r="I48" s="5">
        <f t="shared" si="5"/>
        <v>69</v>
      </c>
      <c r="J48" s="5">
        <v>98.51445042</v>
      </c>
      <c r="K48" s="5">
        <f t="shared" si="6"/>
        <v>98.5</v>
      </c>
      <c r="L48" s="5">
        <v>0.2676005761</v>
      </c>
      <c r="M48" s="5">
        <v>1.217949005</v>
      </c>
      <c r="N48" s="5">
        <v>0.0</v>
      </c>
      <c r="O48" s="5" t="s">
        <v>25</v>
      </c>
      <c r="P48" s="5" t="s">
        <v>25</v>
      </c>
      <c r="Q48" s="5" t="s">
        <v>25</v>
      </c>
      <c r="R48" s="5" t="s">
        <v>25</v>
      </c>
      <c r="S48" s="5" t="s">
        <v>25</v>
      </c>
      <c r="T48" s="5" t="s">
        <v>25</v>
      </c>
      <c r="U48" s="5" t="s">
        <v>25</v>
      </c>
      <c r="V48" s="5" t="s">
        <v>25</v>
      </c>
      <c r="W48" s="7">
        <f t="shared" si="7"/>
        <v>22</v>
      </c>
    </row>
    <row r="49">
      <c r="A49" s="5" t="s">
        <v>110</v>
      </c>
      <c r="B49" s="5" t="s">
        <v>79</v>
      </c>
      <c r="C49" s="5">
        <v>786.559021</v>
      </c>
      <c r="D49" s="5">
        <f t="shared" si="1"/>
        <v>1</v>
      </c>
      <c r="E49" s="5">
        <v>26.7859993</v>
      </c>
      <c r="F49" s="5">
        <f t="shared" si="2"/>
        <v>27</v>
      </c>
      <c r="G49" s="5">
        <f t="shared" si="3"/>
        <v>210.6876939</v>
      </c>
      <c r="H49" s="5">
        <f t="shared" si="4"/>
        <v>73.2140007</v>
      </c>
      <c r="I49" s="5">
        <f t="shared" si="5"/>
        <v>73</v>
      </c>
      <c r="J49" s="5">
        <v>95.55480685</v>
      </c>
      <c r="K49" s="5">
        <f t="shared" si="6"/>
        <v>95.6</v>
      </c>
      <c r="L49" s="5">
        <v>1.205244408</v>
      </c>
      <c r="M49" s="5">
        <v>1.143069849</v>
      </c>
      <c r="N49" s="5">
        <v>2.096878897</v>
      </c>
      <c r="O49" s="5">
        <v>93.9284905</v>
      </c>
      <c r="P49" s="5">
        <v>1.646193862</v>
      </c>
      <c r="Q49" s="5">
        <v>1.561274833</v>
      </c>
      <c r="R49" s="5">
        <v>2.864040809</v>
      </c>
      <c r="S49" s="5">
        <v>100.0</v>
      </c>
      <c r="T49" s="5">
        <v>0.0</v>
      </c>
      <c r="U49" s="5">
        <v>0.0</v>
      </c>
      <c r="V49" s="5">
        <v>0.0</v>
      </c>
      <c r="W49" s="7">
        <f t="shared" si="7"/>
        <v>22</v>
      </c>
    </row>
    <row r="50">
      <c r="A50" s="5" t="s">
        <v>111</v>
      </c>
      <c r="B50" s="5" t="s">
        <v>89</v>
      </c>
      <c r="C50" s="5">
        <v>307.1499939</v>
      </c>
      <c r="D50" s="5">
        <f t="shared" si="1"/>
        <v>1</v>
      </c>
      <c r="E50" s="5">
        <v>25.52500153</v>
      </c>
      <c r="F50" s="5">
        <f t="shared" si="2"/>
        <v>26</v>
      </c>
      <c r="G50" s="5">
        <f t="shared" si="3"/>
        <v>78.40004064</v>
      </c>
      <c r="H50" s="5">
        <f t="shared" si="4"/>
        <v>74.47499847</v>
      </c>
      <c r="I50" s="5">
        <f t="shared" si="5"/>
        <v>74</v>
      </c>
      <c r="J50" s="5">
        <v>91.23119075</v>
      </c>
      <c r="K50" s="5">
        <f t="shared" si="6"/>
        <v>91.2</v>
      </c>
      <c r="L50" s="5">
        <v>1.06238505</v>
      </c>
      <c r="M50" s="5">
        <v>0.0</v>
      </c>
      <c r="N50" s="5">
        <v>7.706424202</v>
      </c>
      <c r="O50" s="5">
        <v>88.39720123</v>
      </c>
      <c r="P50" s="5">
        <v>1.255132675</v>
      </c>
      <c r="Q50" s="5">
        <v>0.0</v>
      </c>
      <c r="R50" s="5">
        <v>10.3476661</v>
      </c>
      <c r="S50" s="5">
        <v>99.5</v>
      </c>
      <c r="T50" s="5">
        <v>0.5</v>
      </c>
      <c r="U50" s="5">
        <v>0.0</v>
      </c>
      <c r="V50" s="5">
        <v>0.0</v>
      </c>
      <c r="W50" s="7">
        <f t="shared" si="7"/>
        <v>22</v>
      </c>
    </row>
    <row r="51">
      <c r="A51" s="5" t="s">
        <v>112</v>
      </c>
      <c r="B51" s="5" t="s">
        <v>89</v>
      </c>
      <c r="C51" s="5">
        <v>686.8779907</v>
      </c>
      <c r="D51" s="5">
        <f t="shared" si="1"/>
        <v>1</v>
      </c>
      <c r="E51" s="5">
        <v>24.67000008</v>
      </c>
      <c r="F51" s="5">
        <f t="shared" si="2"/>
        <v>25</v>
      </c>
      <c r="G51" s="5">
        <f t="shared" si="3"/>
        <v>169.4528009</v>
      </c>
      <c r="H51" s="5">
        <f t="shared" si="4"/>
        <v>75.32999992</v>
      </c>
      <c r="I51" s="5">
        <f t="shared" si="5"/>
        <v>75</v>
      </c>
      <c r="J51" s="5">
        <v>67.30102554</v>
      </c>
      <c r="K51" s="5">
        <f t="shared" si="6"/>
        <v>67.3</v>
      </c>
      <c r="L51" s="5">
        <v>5.79547831</v>
      </c>
      <c r="M51" s="5">
        <v>21.26784313</v>
      </c>
      <c r="N51" s="5">
        <v>5.635653025</v>
      </c>
      <c r="O51" s="5">
        <v>59.40526749</v>
      </c>
      <c r="P51" s="5">
        <v>6.528523649</v>
      </c>
      <c r="Q51" s="5">
        <v>26.955911</v>
      </c>
      <c r="R51" s="5">
        <v>7.110297857</v>
      </c>
      <c r="S51" s="5">
        <v>91.41077689</v>
      </c>
      <c r="T51" s="5">
        <v>3.557120425</v>
      </c>
      <c r="U51" s="5">
        <v>3.899286137</v>
      </c>
      <c r="V51" s="5">
        <v>1.132816553</v>
      </c>
      <c r="W51" s="7">
        <f t="shared" si="7"/>
        <v>22</v>
      </c>
    </row>
    <row r="52">
      <c r="A52" s="5" t="s">
        <v>113</v>
      </c>
      <c r="B52" s="5" t="s">
        <v>79</v>
      </c>
      <c r="C52" s="5">
        <v>105.6969986</v>
      </c>
      <c r="D52" s="5">
        <f t="shared" si="1"/>
        <v>1</v>
      </c>
      <c r="E52" s="5">
        <v>23.09899902</v>
      </c>
      <c r="F52" s="5">
        <f t="shared" si="2"/>
        <v>23</v>
      </c>
      <c r="G52" s="5">
        <f t="shared" si="3"/>
        <v>24.41494867</v>
      </c>
      <c r="H52" s="5">
        <f t="shared" si="4"/>
        <v>76.90100098</v>
      </c>
      <c r="I52" s="5">
        <f t="shared" si="5"/>
        <v>77</v>
      </c>
      <c r="J52" s="5">
        <v>98.73108083</v>
      </c>
      <c r="K52" s="5">
        <f t="shared" si="6"/>
        <v>98.7</v>
      </c>
      <c r="L52" s="5">
        <v>0.8814972962</v>
      </c>
      <c r="M52" s="5">
        <v>0.3874218777</v>
      </c>
      <c r="N52" s="5">
        <v>0.0</v>
      </c>
      <c r="O52" s="5">
        <v>98.46807854</v>
      </c>
      <c r="P52" s="5">
        <v>1.103159706</v>
      </c>
      <c r="Q52" s="5">
        <v>0.4287617551</v>
      </c>
      <c r="R52" s="5">
        <v>0.0</v>
      </c>
      <c r="S52" s="5">
        <v>0.143540536</v>
      </c>
      <c r="T52" s="5">
        <v>0.2498012758</v>
      </c>
      <c r="U52" s="5">
        <v>0.0</v>
      </c>
      <c r="V52" s="5" t="s">
        <v>25</v>
      </c>
      <c r="W52" s="7">
        <f t="shared" si="7"/>
        <v>22</v>
      </c>
    </row>
    <row r="53">
      <c r="A53" s="5" t="s">
        <v>114</v>
      </c>
      <c r="B53" s="5" t="s">
        <v>79</v>
      </c>
      <c r="C53" s="5">
        <v>183.6289978</v>
      </c>
      <c r="D53" s="5">
        <f t="shared" si="1"/>
        <v>1</v>
      </c>
      <c r="E53" s="5">
        <v>18.8409996</v>
      </c>
      <c r="F53" s="5">
        <f t="shared" si="2"/>
        <v>19</v>
      </c>
      <c r="G53" s="5">
        <f t="shared" si="3"/>
        <v>34.59753874</v>
      </c>
      <c r="H53" s="5">
        <f t="shared" si="4"/>
        <v>81.1590004</v>
      </c>
      <c r="I53" s="5">
        <f t="shared" si="5"/>
        <v>81</v>
      </c>
      <c r="J53" s="5">
        <v>96.88784457</v>
      </c>
      <c r="K53" s="5">
        <f t="shared" si="6"/>
        <v>96.9</v>
      </c>
      <c r="L53" s="5">
        <v>1.815652166</v>
      </c>
      <c r="M53" s="5">
        <v>1.296503269</v>
      </c>
      <c r="N53" s="5">
        <v>0.0</v>
      </c>
      <c r="O53" s="5">
        <v>96.81402383</v>
      </c>
      <c r="P53" s="5">
        <v>1.734152255</v>
      </c>
      <c r="Q53" s="5">
        <v>1.451823918</v>
      </c>
      <c r="R53" s="5">
        <v>0.0</v>
      </c>
      <c r="S53" s="5">
        <v>97.20582219</v>
      </c>
      <c r="T53" s="5">
        <v>2.166718886</v>
      </c>
      <c r="U53" s="5">
        <v>0.6274589237</v>
      </c>
      <c r="V53" s="5">
        <v>0.0</v>
      </c>
      <c r="W53" s="7">
        <f t="shared" si="7"/>
        <v>22</v>
      </c>
    </row>
    <row r="54">
      <c r="A54" s="5" t="s">
        <v>115</v>
      </c>
      <c r="B54" s="5" t="s">
        <v>89</v>
      </c>
      <c r="C54" s="5">
        <v>198.4100037</v>
      </c>
      <c r="D54" s="5">
        <f t="shared" si="1"/>
        <v>1</v>
      </c>
      <c r="E54" s="5">
        <v>17.88899994</v>
      </c>
      <c r="F54" s="5">
        <f t="shared" si="2"/>
        <v>18</v>
      </c>
      <c r="G54" s="5">
        <f t="shared" si="3"/>
        <v>35.49356544</v>
      </c>
      <c r="H54" s="5">
        <f t="shared" si="4"/>
        <v>82.11100006</v>
      </c>
      <c r="I54" s="5">
        <f t="shared" si="5"/>
        <v>82</v>
      </c>
      <c r="J54" s="5">
        <v>91.83772455</v>
      </c>
      <c r="K54" s="5">
        <f t="shared" si="6"/>
        <v>91.8</v>
      </c>
      <c r="L54" s="5">
        <v>6.520899952</v>
      </c>
      <c r="M54" s="5">
        <v>1.418623428</v>
      </c>
      <c r="N54" s="5">
        <v>0.2227520679</v>
      </c>
      <c r="O54" s="5">
        <v>91.78032287</v>
      </c>
      <c r="P54" s="5">
        <v>6.220703339</v>
      </c>
      <c r="Q54" s="5">
        <v>1.72769216</v>
      </c>
      <c r="R54" s="5">
        <v>0.2712816327</v>
      </c>
      <c r="S54" s="5">
        <v>92.10119</v>
      </c>
      <c r="T54" s="5">
        <v>7.89881</v>
      </c>
      <c r="U54" s="5">
        <v>0.0</v>
      </c>
      <c r="V54" s="5">
        <v>0.0</v>
      </c>
      <c r="W54" s="7">
        <f t="shared" si="7"/>
        <v>22</v>
      </c>
    </row>
    <row r="55">
      <c r="A55" s="5" t="s">
        <v>116</v>
      </c>
      <c r="B55" s="5" t="s">
        <v>43</v>
      </c>
      <c r="C55" s="5">
        <v>38.13700104</v>
      </c>
      <c r="D55" s="5">
        <f t="shared" si="1"/>
        <v>1</v>
      </c>
      <c r="E55" s="5">
        <v>14.41600037</v>
      </c>
      <c r="F55" s="5">
        <f t="shared" si="2"/>
        <v>14</v>
      </c>
      <c r="G55" s="5">
        <f t="shared" si="3"/>
        <v>5.497830211</v>
      </c>
      <c r="H55" s="5">
        <f t="shared" si="4"/>
        <v>85.58399963</v>
      </c>
      <c r="I55" s="5">
        <f t="shared" si="5"/>
        <v>86</v>
      </c>
      <c r="J55" s="5">
        <v>100.0</v>
      </c>
      <c r="K55" s="5">
        <f t="shared" si="6"/>
        <v>100</v>
      </c>
      <c r="L55" s="5">
        <v>0.0</v>
      </c>
      <c r="M55" s="5">
        <v>0.0</v>
      </c>
      <c r="N55" s="5">
        <v>0.0</v>
      </c>
      <c r="O55" s="5" t="s">
        <v>25</v>
      </c>
      <c r="P55" s="5" t="s">
        <v>25</v>
      </c>
      <c r="Q55" s="5" t="s">
        <v>25</v>
      </c>
      <c r="R55" s="5" t="s">
        <v>25</v>
      </c>
      <c r="S55" s="5" t="s">
        <v>25</v>
      </c>
      <c r="T55" s="5" t="s">
        <v>25</v>
      </c>
      <c r="U55" s="5" t="s">
        <v>25</v>
      </c>
      <c r="V55" s="5" t="s">
        <v>25</v>
      </c>
      <c r="W55" s="7">
        <f t="shared" si="7"/>
        <v>22</v>
      </c>
    </row>
    <row r="56">
      <c r="A56" s="5" t="s">
        <v>117</v>
      </c>
      <c r="B56" s="5" t="s">
        <v>25</v>
      </c>
      <c r="C56" s="5">
        <v>4.999000072</v>
      </c>
      <c r="D56" s="5">
        <f t="shared" si="1"/>
        <v>1</v>
      </c>
      <c r="E56" s="5">
        <v>9.114999771</v>
      </c>
      <c r="F56" s="5">
        <f t="shared" si="2"/>
        <v>9</v>
      </c>
      <c r="G56" s="5">
        <f t="shared" si="3"/>
        <v>0.4556588451</v>
      </c>
      <c r="H56" s="5">
        <f t="shared" si="4"/>
        <v>90.88500023</v>
      </c>
      <c r="I56" s="5">
        <f t="shared" si="5"/>
        <v>91</v>
      </c>
      <c r="J56" s="5">
        <v>98.07748262</v>
      </c>
      <c r="K56" s="5">
        <f t="shared" si="6"/>
        <v>98.1</v>
      </c>
      <c r="L56" s="5">
        <v>0.0</v>
      </c>
      <c r="M56" s="5">
        <v>1.922517378</v>
      </c>
      <c r="N56" s="5">
        <v>0.0</v>
      </c>
      <c r="O56" s="5" t="s">
        <v>25</v>
      </c>
      <c r="P56" s="5" t="s">
        <v>25</v>
      </c>
      <c r="Q56" s="5" t="s">
        <v>25</v>
      </c>
      <c r="R56" s="5" t="s">
        <v>25</v>
      </c>
      <c r="S56" s="5" t="s">
        <v>25</v>
      </c>
      <c r="T56" s="5" t="s">
        <v>25</v>
      </c>
      <c r="U56" s="5" t="s">
        <v>25</v>
      </c>
      <c r="V56" s="5" t="s">
        <v>25</v>
      </c>
      <c r="W56" s="7">
        <f t="shared" si="7"/>
        <v>22</v>
      </c>
    </row>
    <row r="57">
      <c r="A57" s="5" t="s">
        <v>118</v>
      </c>
      <c r="B57" s="5" t="s">
        <v>25</v>
      </c>
      <c r="C57" s="5">
        <v>1.350000024</v>
      </c>
      <c r="D57" s="5">
        <f t="shared" si="1"/>
        <v>1</v>
      </c>
      <c r="E57" s="5">
        <v>0.0</v>
      </c>
      <c r="F57" s="5">
        <f t="shared" si="2"/>
        <v>0</v>
      </c>
      <c r="G57" s="5">
        <f t="shared" si="3"/>
        <v>0</v>
      </c>
      <c r="H57" s="5">
        <f t="shared" si="4"/>
        <v>100</v>
      </c>
      <c r="I57" s="5">
        <f t="shared" si="5"/>
        <v>100</v>
      </c>
      <c r="J57" s="5">
        <v>99.70767665</v>
      </c>
      <c r="K57" s="5">
        <f t="shared" si="6"/>
        <v>99.7</v>
      </c>
      <c r="L57" s="5">
        <v>0.0</v>
      </c>
      <c r="M57" s="5">
        <v>0.2923233459</v>
      </c>
      <c r="N57" s="5">
        <v>0.0</v>
      </c>
      <c r="O57" s="5">
        <v>99.70767665</v>
      </c>
      <c r="P57" s="5">
        <v>0.0</v>
      </c>
      <c r="Q57" s="5">
        <v>0.2923233459</v>
      </c>
      <c r="R57" s="5">
        <v>0.0</v>
      </c>
      <c r="S57" s="5" t="s">
        <v>25</v>
      </c>
      <c r="T57" s="5" t="s">
        <v>25</v>
      </c>
      <c r="U57" s="5" t="s">
        <v>25</v>
      </c>
      <c r="V57" s="5" t="s">
        <v>25</v>
      </c>
      <c r="W57" s="7">
        <f t="shared" si="7"/>
        <v>22</v>
      </c>
    </row>
    <row r="58">
      <c r="A58" s="5" t="s">
        <v>119</v>
      </c>
      <c r="B58" s="5" t="s">
        <v>25</v>
      </c>
      <c r="C58" s="5">
        <v>11.24600029</v>
      </c>
      <c r="D58" s="5">
        <f t="shared" si="1"/>
        <v>1</v>
      </c>
      <c r="E58" s="5">
        <v>0.0</v>
      </c>
      <c r="F58" s="5">
        <f t="shared" si="2"/>
        <v>0</v>
      </c>
      <c r="G58" s="5">
        <f t="shared" si="3"/>
        <v>0</v>
      </c>
      <c r="H58" s="5">
        <f t="shared" si="4"/>
        <v>100</v>
      </c>
      <c r="I58" s="5">
        <f t="shared" si="5"/>
        <v>100</v>
      </c>
      <c r="J58" s="5">
        <v>99.14328736</v>
      </c>
      <c r="K58" s="5">
        <f t="shared" si="6"/>
        <v>99.1</v>
      </c>
      <c r="L58" s="5">
        <v>0.0</v>
      </c>
      <c r="M58" s="5">
        <v>0.856712639</v>
      </c>
      <c r="N58" s="5">
        <v>0.0</v>
      </c>
      <c r="O58" s="5">
        <v>99.14328736</v>
      </c>
      <c r="P58" s="5">
        <v>0.0</v>
      </c>
      <c r="Q58" s="5">
        <v>0.856712639</v>
      </c>
      <c r="R58" s="5">
        <v>0.0</v>
      </c>
      <c r="S58" s="5" t="s">
        <v>25</v>
      </c>
      <c r="T58" s="5" t="s">
        <v>25</v>
      </c>
      <c r="U58" s="5" t="s">
        <v>25</v>
      </c>
      <c r="V58" s="5" t="s">
        <v>25</v>
      </c>
      <c r="W58" s="7">
        <f t="shared" si="7"/>
        <v>22</v>
      </c>
    </row>
    <row r="59">
      <c r="A59" s="5" t="s">
        <v>120</v>
      </c>
      <c r="B59" s="5" t="s">
        <v>43</v>
      </c>
      <c r="C59" s="5">
        <v>1701.583008</v>
      </c>
      <c r="D59" s="5">
        <f t="shared" si="1"/>
        <v>2</v>
      </c>
      <c r="E59" s="5">
        <v>89.50600433</v>
      </c>
      <c r="F59" s="5">
        <f t="shared" si="2"/>
        <v>90</v>
      </c>
      <c r="G59" s="5">
        <f t="shared" si="3"/>
        <v>1523.018961</v>
      </c>
      <c r="H59" s="5">
        <f t="shared" si="4"/>
        <v>10.49399567</v>
      </c>
      <c r="I59" s="5">
        <f t="shared" si="5"/>
        <v>10</v>
      </c>
      <c r="J59" s="5">
        <v>100.0</v>
      </c>
      <c r="K59" s="5">
        <f t="shared" si="6"/>
        <v>100</v>
      </c>
      <c r="L59" s="5">
        <v>0.0</v>
      </c>
      <c r="M59" s="5">
        <v>0.0</v>
      </c>
      <c r="N59" s="5">
        <v>0.0</v>
      </c>
      <c r="O59" s="5" t="s">
        <v>25</v>
      </c>
      <c r="P59" s="5" t="s">
        <v>25</v>
      </c>
      <c r="Q59" s="5" t="s">
        <v>25</v>
      </c>
      <c r="R59" s="5" t="s">
        <v>25</v>
      </c>
      <c r="S59" s="5" t="s">
        <v>25</v>
      </c>
      <c r="T59" s="5" t="s">
        <v>25</v>
      </c>
      <c r="U59" s="5" t="s">
        <v>25</v>
      </c>
      <c r="V59" s="5" t="s">
        <v>25</v>
      </c>
      <c r="W59" s="7">
        <f t="shared" si="7"/>
        <v>22</v>
      </c>
    </row>
    <row r="60">
      <c r="A60" s="5" t="s">
        <v>121</v>
      </c>
      <c r="B60" s="5" t="s">
        <v>43</v>
      </c>
      <c r="C60" s="5">
        <v>1326.53894</v>
      </c>
      <c r="D60" s="5">
        <f t="shared" si="1"/>
        <v>2</v>
      </c>
      <c r="E60" s="5">
        <v>69.22900391</v>
      </c>
      <c r="F60" s="5">
        <f t="shared" si="2"/>
        <v>69</v>
      </c>
      <c r="G60" s="5">
        <f t="shared" si="3"/>
        <v>918.3496946</v>
      </c>
      <c r="H60" s="5">
        <f t="shared" si="4"/>
        <v>30.77099609</v>
      </c>
      <c r="I60" s="5">
        <f t="shared" si="5"/>
        <v>31</v>
      </c>
      <c r="J60" s="5">
        <v>99.59078178</v>
      </c>
      <c r="K60" s="5">
        <f t="shared" si="6"/>
        <v>99.6</v>
      </c>
      <c r="L60" s="5">
        <v>0.0</v>
      </c>
      <c r="M60" s="5">
        <v>0.4092182232</v>
      </c>
      <c r="N60" s="5">
        <v>0.0</v>
      </c>
      <c r="O60" s="5" t="s">
        <v>25</v>
      </c>
      <c r="P60" s="5" t="s">
        <v>25</v>
      </c>
      <c r="Q60" s="5" t="s">
        <v>25</v>
      </c>
      <c r="R60" s="5" t="s">
        <v>25</v>
      </c>
      <c r="S60" s="5">
        <v>99.98545421</v>
      </c>
      <c r="T60" s="5">
        <v>0.0</v>
      </c>
      <c r="U60" s="5">
        <v>0.01454579307</v>
      </c>
      <c r="V60" s="5">
        <v>0.0</v>
      </c>
      <c r="W60" s="7">
        <f t="shared" si="7"/>
        <v>22</v>
      </c>
    </row>
    <row r="61">
      <c r="A61" s="5" t="s">
        <v>122</v>
      </c>
      <c r="B61" s="5" t="s">
        <v>43</v>
      </c>
      <c r="C61" s="5">
        <v>1886.202026</v>
      </c>
      <c r="D61" s="5">
        <f t="shared" si="1"/>
        <v>2</v>
      </c>
      <c r="E61" s="5">
        <v>68.31500244</v>
      </c>
      <c r="F61" s="5">
        <f t="shared" si="2"/>
        <v>68</v>
      </c>
      <c r="G61" s="5">
        <f t="shared" si="3"/>
        <v>1288.55896</v>
      </c>
      <c r="H61" s="5">
        <f t="shared" si="4"/>
        <v>31.68499756</v>
      </c>
      <c r="I61" s="5">
        <f t="shared" si="5"/>
        <v>32</v>
      </c>
      <c r="J61" s="5">
        <v>98.78260115</v>
      </c>
      <c r="K61" s="5">
        <f t="shared" si="6"/>
        <v>98.8</v>
      </c>
      <c r="L61" s="5">
        <v>0.6823007424</v>
      </c>
      <c r="M61" s="5">
        <v>0.5350981037</v>
      </c>
      <c r="N61" s="5">
        <v>0.0</v>
      </c>
      <c r="O61" s="5">
        <v>98.57922314</v>
      </c>
      <c r="P61" s="5">
        <v>0.0</v>
      </c>
      <c r="Q61" s="5">
        <v>1.42077686</v>
      </c>
      <c r="R61" s="5">
        <v>0.0</v>
      </c>
      <c r="S61" s="5">
        <v>98.87692469</v>
      </c>
      <c r="T61" s="5">
        <v>0.9987568151</v>
      </c>
      <c r="U61" s="5">
        <v>0.1243184908</v>
      </c>
      <c r="V61" s="5">
        <v>0.0</v>
      </c>
      <c r="W61" s="7">
        <f t="shared" si="7"/>
        <v>22</v>
      </c>
    </row>
    <row r="62">
      <c r="A62" s="5" t="s">
        <v>123</v>
      </c>
      <c r="B62" s="5" t="s">
        <v>43</v>
      </c>
      <c r="C62" s="5">
        <v>1207.360962</v>
      </c>
      <c r="D62" s="5">
        <f t="shared" si="1"/>
        <v>2</v>
      </c>
      <c r="E62" s="5">
        <v>66.82099915</v>
      </c>
      <c r="F62" s="5">
        <f t="shared" si="2"/>
        <v>67</v>
      </c>
      <c r="G62" s="5">
        <f t="shared" si="3"/>
        <v>806.7706582</v>
      </c>
      <c r="H62" s="5">
        <f t="shared" si="4"/>
        <v>33.17900085</v>
      </c>
      <c r="I62" s="5">
        <f t="shared" si="5"/>
        <v>33</v>
      </c>
      <c r="J62" s="5">
        <v>99.76517318</v>
      </c>
      <c r="K62" s="5">
        <f t="shared" si="6"/>
        <v>99.8</v>
      </c>
      <c r="L62" s="5">
        <v>0.0</v>
      </c>
      <c r="M62" s="5">
        <v>0.2348268167</v>
      </c>
      <c r="N62" s="5">
        <v>0.0</v>
      </c>
      <c r="O62" s="5">
        <v>99.84576172</v>
      </c>
      <c r="P62" s="5">
        <v>0.0</v>
      </c>
      <c r="Q62" s="5">
        <v>0.1542382836</v>
      </c>
      <c r="R62" s="5">
        <v>0.0</v>
      </c>
      <c r="S62" s="5">
        <v>99.72515812</v>
      </c>
      <c r="T62" s="5">
        <v>0.0</v>
      </c>
      <c r="U62" s="5">
        <v>0.2748418825</v>
      </c>
      <c r="V62" s="5">
        <v>0.0</v>
      </c>
      <c r="W62" s="7">
        <f t="shared" si="7"/>
        <v>22</v>
      </c>
    </row>
    <row r="63">
      <c r="A63" s="5" t="s">
        <v>124</v>
      </c>
      <c r="B63" s="5" t="s">
        <v>43</v>
      </c>
      <c r="C63" s="5">
        <v>1399.490967</v>
      </c>
      <c r="D63" s="5">
        <f t="shared" si="1"/>
        <v>2</v>
      </c>
      <c r="E63" s="5">
        <v>53.2140007</v>
      </c>
      <c r="F63" s="5">
        <f t="shared" si="2"/>
        <v>53</v>
      </c>
      <c r="G63" s="5">
        <f t="shared" si="3"/>
        <v>744.725133</v>
      </c>
      <c r="H63" s="5">
        <f t="shared" si="4"/>
        <v>46.7859993</v>
      </c>
      <c r="I63" s="5">
        <f t="shared" si="5"/>
        <v>47</v>
      </c>
      <c r="J63" s="5">
        <v>98.87517077</v>
      </c>
      <c r="K63" s="5">
        <f t="shared" si="6"/>
        <v>98.9</v>
      </c>
      <c r="L63" s="5">
        <v>1.124829231</v>
      </c>
      <c r="M63" s="5">
        <v>0.0</v>
      </c>
      <c r="N63" s="5">
        <v>0.0</v>
      </c>
      <c r="O63" s="5" t="s">
        <v>25</v>
      </c>
      <c r="P63" s="5" t="s">
        <v>25</v>
      </c>
      <c r="Q63" s="5" t="s">
        <v>25</v>
      </c>
      <c r="R63" s="5" t="s">
        <v>25</v>
      </c>
      <c r="S63" s="5" t="s">
        <v>25</v>
      </c>
      <c r="T63" s="5" t="s">
        <v>25</v>
      </c>
      <c r="U63" s="5" t="s">
        <v>25</v>
      </c>
      <c r="V63" s="5" t="s">
        <v>25</v>
      </c>
      <c r="W63" s="7">
        <f t="shared" si="7"/>
        <v>22</v>
      </c>
    </row>
    <row r="64">
      <c r="A64" s="5" t="s">
        <v>125</v>
      </c>
      <c r="B64" s="5" t="s">
        <v>126</v>
      </c>
      <c r="C64" s="5">
        <v>1967.998047</v>
      </c>
      <c r="D64" s="5">
        <f t="shared" si="1"/>
        <v>2</v>
      </c>
      <c r="E64" s="5">
        <v>44.19599915</v>
      </c>
      <c r="F64" s="5">
        <f t="shared" si="2"/>
        <v>44</v>
      </c>
      <c r="G64" s="5">
        <f t="shared" si="3"/>
        <v>869.7764001</v>
      </c>
      <c r="H64" s="5">
        <f t="shared" si="4"/>
        <v>55.80400085</v>
      </c>
      <c r="I64" s="5">
        <f t="shared" si="5"/>
        <v>56</v>
      </c>
      <c r="J64" s="5">
        <v>59.01691221</v>
      </c>
      <c r="K64" s="5">
        <f t="shared" si="6"/>
        <v>59</v>
      </c>
      <c r="L64" s="5">
        <v>14.03457137</v>
      </c>
      <c r="M64" s="5">
        <v>26.6263769</v>
      </c>
      <c r="N64" s="5">
        <v>0.3221395192</v>
      </c>
      <c r="O64" s="5">
        <v>49.8319053</v>
      </c>
      <c r="P64" s="5">
        <v>9.285773026</v>
      </c>
      <c r="Q64" s="5">
        <v>40.31645129</v>
      </c>
      <c r="R64" s="5">
        <v>0.5658703845</v>
      </c>
      <c r="S64" s="5">
        <v>70.61434791</v>
      </c>
      <c r="T64" s="5">
        <v>20.03063358</v>
      </c>
      <c r="U64" s="5">
        <v>9.340625284</v>
      </c>
      <c r="V64" s="5">
        <v>0.01439322693</v>
      </c>
      <c r="W64" s="7">
        <f t="shared" si="7"/>
        <v>22</v>
      </c>
    </row>
    <row r="65">
      <c r="A65" s="5" t="s">
        <v>127</v>
      </c>
      <c r="B65" s="5" t="s">
        <v>79</v>
      </c>
      <c r="C65" s="5">
        <v>1271.766968</v>
      </c>
      <c r="D65" s="5">
        <f t="shared" si="1"/>
        <v>2</v>
      </c>
      <c r="E65" s="5">
        <v>40.75999832</v>
      </c>
      <c r="F65" s="5">
        <f t="shared" si="2"/>
        <v>41</v>
      </c>
      <c r="G65" s="5">
        <f t="shared" si="3"/>
        <v>518.3721948</v>
      </c>
      <c r="H65" s="5">
        <f t="shared" si="4"/>
        <v>59.24000168</v>
      </c>
      <c r="I65" s="5">
        <f t="shared" si="5"/>
        <v>59</v>
      </c>
      <c r="J65" s="5">
        <v>99.8662547</v>
      </c>
      <c r="K65" s="5">
        <f t="shared" si="6"/>
        <v>99.9</v>
      </c>
      <c r="L65" s="5">
        <v>0.0</v>
      </c>
      <c r="M65" s="5">
        <v>0.1337453014</v>
      </c>
      <c r="N65" s="5">
        <v>0.0</v>
      </c>
      <c r="O65" s="5">
        <v>99.82768234</v>
      </c>
      <c r="P65" s="5">
        <v>0.0</v>
      </c>
      <c r="Q65" s="5">
        <v>0.1723176618</v>
      </c>
      <c r="R65" s="5">
        <v>0.0</v>
      </c>
      <c r="S65" s="5">
        <v>99.92231522</v>
      </c>
      <c r="T65" s="5">
        <v>0.0</v>
      </c>
      <c r="U65" s="5">
        <v>0.07768478119</v>
      </c>
      <c r="V65" s="5">
        <v>0.0</v>
      </c>
      <c r="W65" s="7">
        <f t="shared" si="7"/>
        <v>22</v>
      </c>
    </row>
    <row r="66">
      <c r="A66" s="5" t="s">
        <v>128</v>
      </c>
      <c r="B66" s="5" t="s">
        <v>89</v>
      </c>
      <c r="C66" s="5">
        <v>1318.442017</v>
      </c>
      <c r="D66" s="5">
        <f t="shared" si="1"/>
        <v>2</v>
      </c>
      <c r="E66" s="5">
        <v>31.31999969</v>
      </c>
      <c r="F66" s="5">
        <f t="shared" si="2"/>
        <v>31</v>
      </c>
      <c r="G66" s="5">
        <f t="shared" si="3"/>
        <v>412.9360356</v>
      </c>
      <c r="H66" s="5">
        <f t="shared" si="4"/>
        <v>68.68000031</v>
      </c>
      <c r="I66" s="5">
        <f t="shared" si="5"/>
        <v>69</v>
      </c>
      <c r="J66" s="5">
        <v>85.4956012</v>
      </c>
      <c r="K66" s="5">
        <f t="shared" si="6"/>
        <v>85.5</v>
      </c>
      <c r="L66" s="5">
        <v>1.88586597</v>
      </c>
      <c r="M66" s="5">
        <v>8.360029397</v>
      </c>
      <c r="N66" s="5">
        <v>4.258503433</v>
      </c>
      <c r="O66" s="5">
        <v>80.48779562</v>
      </c>
      <c r="P66" s="5">
        <v>2.049364675</v>
      </c>
      <c r="Q66" s="5">
        <v>11.26233968</v>
      </c>
      <c r="R66" s="5">
        <v>6.200500018</v>
      </c>
      <c r="S66" s="5">
        <v>96.47695792</v>
      </c>
      <c r="T66" s="5">
        <v>1.527338152</v>
      </c>
      <c r="U66" s="5">
        <v>1.995703929</v>
      </c>
      <c r="V66" s="5">
        <v>0.0</v>
      </c>
      <c r="W66" s="7">
        <f t="shared" si="7"/>
        <v>22</v>
      </c>
    </row>
    <row r="67">
      <c r="A67" s="5" t="s">
        <v>129</v>
      </c>
      <c r="B67" s="5" t="s">
        <v>89</v>
      </c>
      <c r="C67" s="5">
        <v>1160.16394</v>
      </c>
      <c r="D67" s="5">
        <f t="shared" si="1"/>
        <v>2</v>
      </c>
      <c r="E67" s="5">
        <v>24.17100143</v>
      </c>
      <c r="F67" s="5">
        <f t="shared" si="2"/>
        <v>24</v>
      </c>
      <c r="G67" s="5">
        <f t="shared" si="3"/>
        <v>280.4232425</v>
      </c>
      <c r="H67" s="5">
        <f t="shared" si="4"/>
        <v>75.82899857</v>
      </c>
      <c r="I67" s="5">
        <f t="shared" si="5"/>
        <v>76</v>
      </c>
      <c r="J67" s="5">
        <v>70.75307095</v>
      </c>
      <c r="K67" s="5">
        <f t="shared" si="6"/>
        <v>70.8</v>
      </c>
      <c r="L67" s="5">
        <v>9.507067163</v>
      </c>
      <c r="M67" s="5">
        <v>9.835567931</v>
      </c>
      <c r="N67" s="5">
        <v>9.904293959</v>
      </c>
      <c r="O67" s="5">
        <v>62.46644874</v>
      </c>
      <c r="P67" s="5">
        <v>12.29969513</v>
      </c>
      <c r="Q67" s="5">
        <v>12.45046093</v>
      </c>
      <c r="R67" s="5">
        <v>12.78339519</v>
      </c>
      <c r="S67" s="5">
        <v>96.74976305</v>
      </c>
      <c r="T67" s="5">
        <v>0.7460644731</v>
      </c>
      <c r="U67" s="5">
        <v>1.632164244</v>
      </c>
      <c r="V67" s="5">
        <v>0.8720082294</v>
      </c>
      <c r="W67" s="7">
        <f t="shared" si="7"/>
        <v>22</v>
      </c>
    </row>
    <row r="68">
      <c r="A68" s="5" t="s">
        <v>130</v>
      </c>
      <c r="B68" s="5" t="s">
        <v>43</v>
      </c>
      <c r="C68" s="5">
        <v>2881.060059</v>
      </c>
      <c r="D68" s="5">
        <f t="shared" si="1"/>
        <v>3</v>
      </c>
      <c r="E68" s="5">
        <v>99.23500061</v>
      </c>
      <c r="F68" s="5">
        <f t="shared" si="2"/>
        <v>99</v>
      </c>
      <c r="G68" s="5">
        <f t="shared" si="3"/>
        <v>2859.019967</v>
      </c>
      <c r="H68" s="5">
        <f t="shared" si="4"/>
        <v>0.76499939</v>
      </c>
      <c r="I68" s="5">
        <f t="shared" si="5"/>
        <v>1</v>
      </c>
      <c r="J68" s="5">
        <v>99.56810194</v>
      </c>
      <c r="K68" s="5">
        <f t="shared" si="6"/>
        <v>99.6</v>
      </c>
      <c r="L68" s="5">
        <v>0.0</v>
      </c>
      <c r="M68" s="5">
        <v>0.4318980637</v>
      </c>
      <c r="N68" s="5">
        <v>0.0</v>
      </c>
      <c r="O68" s="5" t="s">
        <v>25</v>
      </c>
      <c r="P68" s="5" t="s">
        <v>25</v>
      </c>
      <c r="Q68" s="5" t="s">
        <v>25</v>
      </c>
      <c r="R68" s="5" t="s">
        <v>25</v>
      </c>
      <c r="S68" s="5" t="s">
        <v>25</v>
      </c>
      <c r="T68" s="5" t="s">
        <v>25</v>
      </c>
      <c r="U68" s="5" t="s">
        <v>25</v>
      </c>
      <c r="V68" s="5" t="s">
        <v>25</v>
      </c>
      <c r="W68" s="7">
        <f t="shared" si="7"/>
        <v>22</v>
      </c>
    </row>
    <row r="69">
      <c r="A69" s="5" t="s">
        <v>131</v>
      </c>
      <c r="B69" s="5" t="s">
        <v>43</v>
      </c>
      <c r="C69" s="5">
        <v>2860.840088</v>
      </c>
      <c r="D69" s="5">
        <f t="shared" si="1"/>
        <v>3</v>
      </c>
      <c r="E69" s="5">
        <v>93.58100128</v>
      </c>
      <c r="F69" s="5">
        <f t="shared" si="2"/>
        <v>94</v>
      </c>
      <c r="G69" s="5">
        <f t="shared" si="3"/>
        <v>2677.202799</v>
      </c>
      <c r="H69" s="5">
        <f t="shared" si="4"/>
        <v>6.41899872</v>
      </c>
      <c r="I69" s="5">
        <f t="shared" si="5"/>
        <v>6</v>
      </c>
      <c r="J69" s="5">
        <v>100.0</v>
      </c>
      <c r="K69" s="5">
        <f t="shared" si="6"/>
        <v>100</v>
      </c>
      <c r="L69" s="5">
        <v>0.0</v>
      </c>
      <c r="M69" s="5">
        <v>0.0</v>
      </c>
      <c r="N69" s="5">
        <v>0.0</v>
      </c>
      <c r="O69" s="5" t="s">
        <v>25</v>
      </c>
      <c r="P69" s="5" t="s">
        <v>25</v>
      </c>
      <c r="Q69" s="5" t="s">
        <v>25</v>
      </c>
      <c r="R69" s="5" t="s">
        <v>25</v>
      </c>
      <c r="S69" s="5" t="s">
        <v>25</v>
      </c>
      <c r="T69" s="5" t="s">
        <v>25</v>
      </c>
      <c r="U69" s="5" t="s">
        <v>25</v>
      </c>
      <c r="V69" s="5" t="s">
        <v>25</v>
      </c>
      <c r="W69" s="7">
        <f t="shared" si="7"/>
        <v>22</v>
      </c>
    </row>
    <row r="70">
      <c r="A70" s="5" t="s">
        <v>132</v>
      </c>
      <c r="B70" s="5" t="s">
        <v>79</v>
      </c>
      <c r="C70" s="5">
        <v>2225.728027</v>
      </c>
      <c r="D70" s="5">
        <f t="shared" si="1"/>
        <v>3</v>
      </c>
      <c r="E70" s="5">
        <v>90.09200287</v>
      </c>
      <c r="F70" s="5">
        <f t="shared" si="2"/>
        <v>90</v>
      </c>
      <c r="G70" s="5">
        <f t="shared" si="3"/>
        <v>2005.202958</v>
      </c>
      <c r="H70" s="5">
        <f t="shared" si="4"/>
        <v>9.90799713</v>
      </c>
      <c r="I70" s="5">
        <f t="shared" si="5"/>
        <v>10</v>
      </c>
      <c r="J70" s="5">
        <v>85.3419306</v>
      </c>
      <c r="K70" s="5">
        <f t="shared" si="6"/>
        <v>85.3</v>
      </c>
      <c r="L70" s="5">
        <v>7.735263103</v>
      </c>
      <c r="M70" s="5">
        <v>6.922808357</v>
      </c>
      <c r="N70" s="5" t="s">
        <v>25</v>
      </c>
      <c r="O70" s="5">
        <v>44.74588901</v>
      </c>
      <c r="P70" s="5">
        <v>10.51114859</v>
      </c>
      <c r="Q70" s="5">
        <v>44.7429624</v>
      </c>
      <c r="R70" s="5" t="s">
        <v>25</v>
      </c>
      <c r="S70" s="5">
        <v>89.80653917</v>
      </c>
      <c r="T70" s="5">
        <v>7.42998076</v>
      </c>
      <c r="U70" s="5">
        <v>2.763480072</v>
      </c>
      <c r="V70" s="5" t="s">
        <v>25</v>
      </c>
      <c r="W70" s="7">
        <f t="shared" si="7"/>
        <v>22</v>
      </c>
    </row>
    <row r="71">
      <c r="A71" s="5" t="s">
        <v>133</v>
      </c>
      <c r="B71" s="5" t="s">
        <v>79</v>
      </c>
      <c r="C71" s="5">
        <v>2351.625</v>
      </c>
      <c r="D71" s="5">
        <f t="shared" si="1"/>
        <v>3</v>
      </c>
      <c r="E71" s="5">
        <v>70.8769989</v>
      </c>
      <c r="F71" s="5">
        <f t="shared" si="2"/>
        <v>71</v>
      </c>
      <c r="G71" s="5">
        <f t="shared" si="3"/>
        <v>1666.761225</v>
      </c>
      <c r="H71" s="5">
        <f t="shared" si="4"/>
        <v>29.1230011</v>
      </c>
      <c r="I71" s="5">
        <f t="shared" si="5"/>
        <v>29</v>
      </c>
      <c r="J71" s="5">
        <v>92.21356307</v>
      </c>
      <c r="K71" s="5">
        <f t="shared" si="6"/>
        <v>92.2</v>
      </c>
      <c r="L71" s="5">
        <v>4.72303897</v>
      </c>
      <c r="M71" s="5">
        <v>1.732526476</v>
      </c>
      <c r="N71" s="5">
        <v>1.330871481</v>
      </c>
      <c r="O71" s="5">
        <v>79.04372386</v>
      </c>
      <c r="P71" s="5">
        <v>15.15494718</v>
      </c>
      <c r="Q71" s="5">
        <v>1.596119156</v>
      </c>
      <c r="R71" s="5">
        <v>4.20520981</v>
      </c>
      <c r="S71" s="5">
        <v>97.62498058</v>
      </c>
      <c r="T71" s="5">
        <v>0.4366200322</v>
      </c>
      <c r="U71" s="5">
        <v>1.788579159</v>
      </c>
      <c r="V71" s="5">
        <v>0.1498202281</v>
      </c>
      <c r="W71" s="7">
        <f t="shared" si="7"/>
        <v>22</v>
      </c>
    </row>
    <row r="72">
      <c r="A72" s="5" t="s">
        <v>134</v>
      </c>
      <c r="B72" s="5" t="s">
        <v>43</v>
      </c>
      <c r="C72" s="5">
        <v>2722.291016</v>
      </c>
      <c r="D72" s="5">
        <f t="shared" si="1"/>
        <v>3</v>
      </c>
      <c r="E72" s="5">
        <v>68.04599762</v>
      </c>
      <c r="F72" s="5">
        <f t="shared" si="2"/>
        <v>68</v>
      </c>
      <c r="G72" s="5">
        <f t="shared" si="3"/>
        <v>1852.41008</v>
      </c>
      <c r="H72" s="5">
        <f t="shared" si="4"/>
        <v>31.95400238</v>
      </c>
      <c r="I72" s="5">
        <f t="shared" si="5"/>
        <v>32</v>
      </c>
      <c r="J72" s="5">
        <v>98.01334724</v>
      </c>
      <c r="K72" s="5">
        <f t="shared" si="6"/>
        <v>98</v>
      </c>
      <c r="L72" s="5">
        <v>0.0</v>
      </c>
      <c r="M72" s="5">
        <v>1.98665276</v>
      </c>
      <c r="N72" s="5">
        <v>0.0</v>
      </c>
      <c r="O72" s="5">
        <v>93.78278023</v>
      </c>
      <c r="P72" s="5">
        <v>0.0</v>
      </c>
      <c r="Q72" s="5">
        <v>6.217219771</v>
      </c>
      <c r="R72" s="5">
        <v>0.0</v>
      </c>
      <c r="S72" s="5">
        <v>100.0</v>
      </c>
      <c r="T72" s="5">
        <v>0.0</v>
      </c>
      <c r="U72" s="5">
        <v>0.0</v>
      </c>
      <c r="V72" s="5">
        <v>0.0</v>
      </c>
      <c r="W72" s="7">
        <f t="shared" si="7"/>
        <v>22</v>
      </c>
    </row>
    <row r="73">
      <c r="A73" s="5" t="s">
        <v>135</v>
      </c>
      <c r="B73" s="5" t="s">
        <v>126</v>
      </c>
      <c r="C73" s="5">
        <v>2416.664063</v>
      </c>
      <c r="D73" s="5">
        <f t="shared" si="1"/>
        <v>3</v>
      </c>
      <c r="E73" s="5">
        <v>62.58199692</v>
      </c>
      <c r="F73" s="5">
        <f t="shared" si="2"/>
        <v>63</v>
      </c>
      <c r="G73" s="5">
        <f t="shared" si="3"/>
        <v>1512.396629</v>
      </c>
      <c r="H73" s="5">
        <f t="shared" si="4"/>
        <v>37.41800308</v>
      </c>
      <c r="I73" s="5">
        <f t="shared" si="5"/>
        <v>37</v>
      </c>
      <c r="J73" s="5">
        <v>80.94040714</v>
      </c>
      <c r="K73" s="5">
        <f t="shared" si="6"/>
        <v>80.9</v>
      </c>
      <c r="L73" s="5">
        <v>8.597391391</v>
      </c>
      <c r="M73" s="5">
        <v>10.35285207</v>
      </c>
      <c r="N73" s="5">
        <v>0.1093493927</v>
      </c>
      <c r="O73" s="5">
        <v>69.18852321</v>
      </c>
      <c r="P73" s="5">
        <v>16.49783239</v>
      </c>
      <c r="Q73" s="5">
        <v>14.24376547</v>
      </c>
      <c r="R73" s="5">
        <v>0.0698789368</v>
      </c>
      <c r="S73" s="5">
        <v>87.96690427</v>
      </c>
      <c r="T73" s="5">
        <v>3.873689522</v>
      </c>
      <c r="U73" s="5">
        <v>8.026457278</v>
      </c>
      <c r="V73" s="5">
        <v>0.1329489253</v>
      </c>
      <c r="W73" s="7">
        <f t="shared" si="7"/>
        <v>22</v>
      </c>
    </row>
    <row r="74">
      <c r="A74" s="5" t="s">
        <v>136</v>
      </c>
      <c r="B74" s="5" t="s">
        <v>79</v>
      </c>
      <c r="C74" s="5">
        <v>2963.233887</v>
      </c>
      <c r="D74" s="5">
        <f t="shared" si="1"/>
        <v>3</v>
      </c>
      <c r="E74" s="5">
        <v>63.31299973</v>
      </c>
      <c r="F74" s="5">
        <f t="shared" si="2"/>
        <v>63</v>
      </c>
      <c r="G74" s="5">
        <f t="shared" si="3"/>
        <v>1876.112263</v>
      </c>
      <c r="H74" s="5">
        <f t="shared" si="4"/>
        <v>36.68700027</v>
      </c>
      <c r="I74" s="5">
        <f t="shared" si="5"/>
        <v>37</v>
      </c>
      <c r="J74" s="5">
        <v>99.97118069</v>
      </c>
      <c r="K74" s="5">
        <f t="shared" si="6"/>
        <v>100</v>
      </c>
      <c r="L74" s="5">
        <v>0.0</v>
      </c>
      <c r="M74" s="5">
        <v>0.02881930801</v>
      </c>
      <c r="N74" s="5">
        <v>0.0</v>
      </c>
      <c r="O74" s="5">
        <v>100.0</v>
      </c>
      <c r="P74" s="5">
        <v>0.0</v>
      </c>
      <c r="Q74" s="5">
        <v>0.0</v>
      </c>
      <c r="R74" s="5">
        <v>0.0</v>
      </c>
      <c r="S74" s="5">
        <v>99.95448122</v>
      </c>
      <c r="T74" s="5">
        <v>0.0</v>
      </c>
      <c r="U74" s="5">
        <v>0.04551878364</v>
      </c>
      <c r="V74" s="5">
        <v>0.0</v>
      </c>
      <c r="W74" s="7">
        <f t="shared" si="7"/>
        <v>22</v>
      </c>
    </row>
    <row r="75">
      <c r="A75" s="5" t="s">
        <v>137</v>
      </c>
      <c r="B75" s="5" t="s">
        <v>79</v>
      </c>
      <c r="C75" s="5">
        <v>2877.800049</v>
      </c>
      <c r="D75" s="5">
        <f t="shared" si="1"/>
        <v>3</v>
      </c>
      <c r="E75" s="5">
        <v>62.11199951</v>
      </c>
      <c r="F75" s="5">
        <f t="shared" si="2"/>
        <v>62</v>
      </c>
      <c r="G75" s="5">
        <f t="shared" si="3"/>
        <v>1787.459152</v>
      </c>
      <c r="H75" s="5">
        <f t="shared" si="4"/>
        <v>37.88800049</v>
      </c>
      <c r="I75" s="5">
        <f t="shared" si="5"/>
        <v>38</v>
      </c>
      <c r="J75" s="5">
        <v>95.06803883</v>
      </c>
      <c r="K75" s="5">
        <f t="shared" si="6"/>
        <v>95.1</v>
      </c>
      <c r="L75" s="5">
        <v>1.884656092</v>
      </c>
      <c r="M75" s="5">
        <v>3.047305081</v>
      </c>
      <c r="N75" s="5">
        <v>0.0</v>
      </c>
      <c r="O75" s="5">
        <v>94.09135806</v>
      </c>
      <c r="P75" s="5">
        <v>2.305264955</v>
      </c>
      <c r="Q75" s="5">
        <v>3.603376986</v>
      </c>
      <c r="R75" s="5">
        <v>0.0</v>
      </c>
      <c r="S75" s="5">
        <v>95.66380912</v>
      </c>
      <c r="T75" s="5">
        <v>1.62808683</v>
      </c>
      <c r="U75" s="5">
        <v>2.708104054</v>
      </c>
      <c r="V75" s="5">
        <v>0.0</v>
      </c>
      <c r="W75" s="7">
        <f t="shared" si="7"/>
        <v>22</v>
      </c>
    </row>
    <row r="76">
      <c r="A76" s="5" t="s">
        <v>138</v>
      </c>
      <c r="B76" s="5" t="s">
        <v>79</v>
      </c>
      <c r="C76" s="5">
        <v>2083.379883</v>
      </c>
      <c r="D76" s="5">
        <f t="shared" si="1"/>
        <v>3</v>
      </c>
      <c r="E76" s="5">
        <v>58.48199844</v>
      </c>
      <c r="F76" s="5">
        <f t="shared" si="2"/>
        <v>58</v>
      </c>
      <c r="G76" s="5">
        <f t="shared" si="3"/>
        <v>1218.402191</v>
      </c>
      <c r="H76" s="5">
        <f t="shared" si="4"/>
        <v>41.51800156</v>
      </c>
      <c r="I76" s="5">
        <f t="shared" si="5"/>
        <v>42</v>
      </c>
      <c r="J76" s="5">
        <v>97.74281579</v>
      </c>
      <c r="K76" s="5">
        <f t="shared" si="6"/>
        <v>97.7</v>
      </c>
      <c r="L76" s="5">
        <v>1.63499414</v>
      </c>
      <c r="M76" s="5">
        <v>0.5742284762</v>
      </c>
      <c r="N76" s="5">
        <v>0.04796159706</v>
      </c>
      <c r="O76" s="5">
        <v>97.46871457</v>
      </c>
      <c r="P76" s="5">
        <v>1.505202232</v>
      </c>
      <c r="Q76" s="5">
        <v>0.9105631982</v>
      </c>
      <c r="R76" s="5">
        <v>0.11552</v>
      </c>
      <c r="S76" s="5">
        <v>97.93740299</v>
      </c>
      <c r="T76" s="5">
        <v>1.727136954</v>
      </c>
      <c r="U76" s="5">
        <v>0.3354600563</v>
      </c>
      <c r="V76" s="5">
        <v>0.0</v>
      </c>
      <c r="W76" s="7">
        <f t="shared" si="7"/>
        <v>22</v>
      </c>
    </row>
    <row r="77">
      <c r="A77" s="5" t="s">
        <v>139</v>
      </c>
      <c r="B77" s="5" t="s">
        <v>79</v>
      </c>
      <c r="C77" s="5">
        <v>2961.160889</v>
      </c>
      <c r="D77" s="5">
        <f t="shared" si="1"/>
        <v>3</v>
      </c>
      <c r="E77" s="5">
        <v>56.31100082</v>
      </c>
      <c r="F77" s="5">
        <f t="shared" si="2"/>
        <v>56</v>
      </c>
      <c r="G77" s="5">
        <f t="shared" si="3"/>
        <v>1667.459332</v>
      </c>
      <c r="H77" s="5">
        <f t="shared" si="4"/>
        <v>43.68899918</v>
      </c>
      <c r="I77" s="5">
        <f t="shared" si="5"/>
        <v>44</v>
      </c>
      <c r="J77" s="5">
        <v>91.0299445</v>
      </c>
      <c r="K77" s="5">
        <f t="shared" si="6"/>
        <v>91</v>
      </c>
      <c r="L77" s="5">
        <v>5.367570914</v>
      </c>
      <c r="M77" s="5">
        <v>1.864010203</v>
      </c>
      <c r="N77" s="5">
        <v>1.738474379</v>
      </c>
      <c r="O77" s="5">
        <v>85.39991216</v>
      </c>
      <c r="P77" s="5">
        <v>8.490737371</v>
      </c>
      <c r="Q77" s="5">
        <v>2.568971895</v>
      </c>
      <c r="R77" s="5">
        <v>3.540378574</v>
      </c>
      <c r="S77" s="5">
        <v>95.39801591</v>
      </c>
      <c r="T77" s="5">
        <v>2.944456223</v>
      </c>
      <c r="U77" s="5">
        <v>1.317064322</v>
      </c>
      <c r="V77" s="5">
        <v>0.34046355</v>
      </c>
      <c r="W77" s="7">
        <f t="shared" si="7"/>
        <v>22</v>
      </c>
    </row>
    <row r="78">
      <c r="A78" s="5" t="s">
        <v>140</v>
      </c>
      <c r="B78" s="5" t="s">
        <v>43</v>
      </c>
      <c r="C78" s="5">
        <v>2078.931885</v>
      </c>
      <c r="D78" s="5">
        <f t="shared" si="1"/>
        <v>3</v>
      </c>
      <c r="E78" s="5">
        <v>55.11800385</v>
      </c>
      <c r="F78" s="5">
        <f t="shared" si="2"/>
        <v>55</v>
      </c>
      <c r="G78" s="5">
        <f t="shared" si="3"/>
        <v>1145.865756</v>
      </c>
      <c r="H78" s="5">
        <f t="shared" si="4"/>
        <v>44.88199615</v>
      </c>
      <c r="I78" s="5">
        <f t="shared" si="5"/>
        <v>45</v>
      </c>
      <c r="J78" s="5">
        <v>99.5</v>
      </c>
      <c r="K78" s="5">
        <f t="shared" si="6"/>
        <v>99.5</v>
      </c>
      <c r="L78" s="5">
        <v>0.0</v>
      </c>
      <c r="M78" s="5">
        <v>0.5</v>
      </c>
      <c r="N78" s="5">
        <v>0.0</v>
      </c>
      <c r="O78" s="5" t="s">
        <v>25</v>
      </c>
      <c r="P78" s="5" t="s">
        <v>25</v>
      </c>
      <c r="Q78" s="5" t="s">
        <v>25</v>
      </c>
      <c r="R78" s="5" t="s">
        <v>25</v>
      </c>
      <c r="S78" s="5" t="s">
        <v>25</v>
      </c>
      <c r="T78" s="5" t="s">
        <v>25</v>
      </c>
      <c r="U78" s="5" t="s">
        <v>25</v>
      </c>
      <c r="V78" s="5" t="s">
        <v>25</v>
      </c>
      <c r="W78" s="7">
        <f t="shared" si="7"/>
        <v>22</v>
      </c>
    </row>
    <row r="79">
      <c r="A79" s="5" t="s">
        <v>141</v>
      </c>
      <c r="B79" s="5" t="s">
        <v>79</v>
      </c>
      <c r="C79" s="5">
        <v>2540.916016</v>
      </c>
      <c r="D79" s="5">
        <f t="shared" si="1"/>
        <v>3</v>
      </c>
      <c r="E79" s="5">
        <v>52.03300095</v>
      </c>
      <c r="F79" s="5">
        <f t="shared" si="2"/>
        <v>52</v>
      </c>
      <c r="G79" s="5">
        <f t="shared" si="3"/>
        <v>1322.114855</v>
      </c>
      <c r="H79" s="5">
        <f t="shared" si="4"/>
        <v>47.96699905</v>
      </c>
      <c r="I79" s="5">
        <f t="shared" si="5"/>
        <v>48</v>
      </c>
      <c r="J79" s="5">
        <v>84.27003628</v>
      </c>
      <c r="K79" s="5">
        <f t="shared" si="6"/>
        <v>84.3</v>
      </c>
      <c r="L79" s="5">
        <v>7.08762751</v>
      </c>
      <c r="M79" s="5">
        <v>3.740143722</v>
      </c>
      <c r="N79" s="5">
        <v>4.902192485</v>
      </c>
      <c r="O79" s="5">
        <v>71.25616743</v>
      </c>
      <c r="P79" s="5">
        <v>11.97218925</v>
      </c>
      <c r="Q79" s="5">
        <v>7.081803759</v>
      </c>
      <c r="R79" s="5">
        <v>9.689839563</v>
      </c>
      <c r="S79" s="5">
        <v>96.26696535</v>
      </c>
      <c r="T79" s="5">
        <v>2.584758965</v>
      </c>
      <c r="U79" s="5">
        <v>0.6596102638</v>
      </c>
      <c r="V79" s="5">
        <v>0.4886654211</v>
      </c>
      <c r="W79" s="7">
        <f t="shared" si="7"/>
        <v>22</v>
      </c>
    </row>
    <row r="80">
      <c r="A80" s="5" t="s">
        <v>142</v>
      </c>
      <c r="B80" s="5" t="s">
        <v>89</v>
      </c>
      <c r="C80" s="5">
        <v>2142.251953</v>
      </c>
      <c r="D80" s="5">
        <f t="shared" si="1"/>
        <v>3</v>
      </c>
      <c r="E80" s="5">
        <v>29.02799988</v>
      </c>
      <c r="F80" s="5">
        <f t="shared" si="2"/>
        <v>29</v>
      </c>
      <c r="G80" s="5">
        <f t="shared" si="3"/>
        <v>621.8528943</v>
      </c>
      <c r="H80" s="5">
        <f t="shared" si="4"/>
        <v>70.97200012</v>
      </c>
      <c r="I80" s="5">
        <f t="shared" si="5"/>
        <v>71</v>
      </c>
      <c r="J80" s="5">
        <v>72.17603927</v>
      </c>
      <c r="K80" s="5">
        <f t="shared" si="6"/>
        <v>72.2</v>
      </c>
      <c r="L80" s="5">
        <v>10.40592597</v>
      </c>
      <c r="M80" s="5">
        <v>12.21725464</v>
      </c>
      <c r="N80" s="5">
        <v>5.200780116</v>
      </c>
      <c r="O80" s="5">
        <v>63.65035482</v>
      </c>
      <c r="P80" s="5">
        <v>13.55843013</v>
      </c>
      <c r="Q80" s="5">
        <v>15.73132479</v>
      </c>
      <c r="R80" s="5">
        <v>7.059890254</v>
      </c>
      <c r="S80" s="5">
        <v>93.02090855</v>
      </c>
      <c r="T80" s="5">
        <v>2.698211997</v>
      </c>
      <c r="U80" s="5">
        <v>3.625530038</v>
      </c>
      <c r="V80" s="5">
        <v>0.65534942</v>
      </c>
      <c r="W80" s="7">
        <f t="shared" si="7"/>
        <v>22</v>
      </c>
    </row>
    <row r="81">
      <c r="A81" s="5" t="s">
        <v>143</v>
      </c>
      <c r="B81" s="5" t="s">
        <v>43</v>
      </c>
      <c r="C81" s="5">
        <v>3473.727051</v>
      </c>
      <c r="D81" s="5">
        <f t="shared" si="1"/>
        <v>4</v>
      </c>
      <c r="E81" s="5">
        <v>95.51499939</v>
      </c>
      <c r="F81" s="5">
        <f t="shared" si="2"/>
        <v>96</v>
      </c>
      <c r="G81" s="5">
        <f t="shared" si="3"/>
        <v>3317.930372</v>
      </c>
      <c r="H81" s="5">
        <f t="shared" si="4"/>
        <v>4.48500061</v>
      </c>
      <c r="I81" s="5">
        <f t="shared" si="5"/>
        <v>4</v>
      </c>
      <c r="J81" s="5">
        <v>99.49575756</v>
      </c>
      <c r="K81" s="5">
        <f t="shared" si="6"/>
        <v>99.5</v>
      </c>
      <c r="L81" s="5">
        <v>0.5042424412</v>
      </c>
      <c r="M81" s="5">
        <v>0.0</v>
      </c>
      <c r="N81" s="5">
        <v>0.0</v>
      </c>
      <c r="O81" s="5">
        <v>95.30083</v>
      </c>
      <c r="P81" s="5">
        <v>4.69917</v>
      </c>
      <c r="Q81" s="5">
        <v>0.0</v>
      </c>
      <c r="R81" s="5">
        <v>0.0</v>
      </c>
      <c r="S81" s="5">
        <v>99.69273444</v>
      </c>
      <c r="T81" s="5">
        <v>0.3072655617</v>
      </c>
      <c r="U81" s="5">
        <v>0.0</v>
      </c>
      <c r="V81" s="5">
        <v>0.0</v>
      </c>
      <c r="W81" s="7">
        <f t="shared" si="7"/>
        <v>22</v>
      </c>
    </row>
    <row r="82">
      <c r="A82" s="5" t="s">
        <v>144</v>
      </c>
      <c r="B82" s="5" t="s">
        <v>89</v>
      </c>
      <c r="C82" s="5">
        <v>3278.291992</v>
      </c>
      <c r="D82" s="5">
        <f t="shared" si="1"/>
        <v>4</v>
      </c>
      <c r="E82" s="5">
        <v>68.65699768</v>
      </c>
      <c r="F82" s="5">
        <f t="shared" si="2"/>
        <v>69</v>
      </c>
      <c r="G82" s="5">
        <f t="shared" si="3"/>
        <v>2250.776857</v>
      </c>
      <c r="H82" s="5">
        <f t="shared" si="4"/>
        <v>31.34300232</v>
      </c>
      <c r="I82" s="5">
        <f t="shared" si="5"/>
        <v>31</v>
      </c>
      <c r="J82" s="5">
        <v>85.49562527</v>
      </c>
      <c r="K82" s="5">
        <f t="shared" si="6"/>
        <v>85.5</v>
      </c>
      <c r="L82" s="5">
        <v>2.14642893</v>
      </c>
      <c r="M82" s="5">
        <v>6.633366714</v>
      </c>
      <c r="N82" s="5">
        <v>5.724579081</v>
      </c>
      <c r="O82" s="5">
        <v>61.07075114</v>
      </c>
      <c r="P82" s="5">
        <v>3.084170572</v>
      </c>
      <c r="Q82" s="5">
        <v>17.58078116</v>
      </c>
      <c r="R82" s="5">
        <v>18.26429713</v>
      </c>
      <c r="S82" s="5">
        <v>96.64596558</v>
      </c>
      <c r="T82" s="5">
        <v>1.718335079</v>
      </c>
      <c r="U82" s="5">
        <v>1.635699341</v>
      </c>
      <c r="V82" s="5">
        <v>0.0</v>
      </c>
      <c r="W82" s="7">
        <f t="shared" si="7"/>
        <v>22</v>
      </c>
    </row>
    <row r="83">
      <c r="A83" s="5" t="s">
        <v>145</v>
      </c>
      <c r="B83" s="5" t="s">
        <v>79</v>
      </c>
      <c r="C83" s="5">
        <v>3989.175049</v>
      </c>
      <c r="D83" s="5">
        <f t="shared" si="1"/>
        <v>4</v>
      </c>
      <c r="E83" s="5">
        <v>59.4529953</v>
      </c>
      <c r="F83" s="5">
        <f t="shared" si="2"/>
        <v>59</v>
      </c>
      <c r="G83" s="5">
        <f t="shared" si="3"/>
        <v>2371.684054</v>
      </c>
      <c r="H83" s="5">
        <f t="shared" si="4"/>
        <v>40.5470047</v>
      </c>
      <c r="I83" s="5">
        <f t="shared" si="5"/>
        <v>41</v>
      </c>
      <c r="J83" s="5">
        <v>97.3481397</v>
      </c>
      <c r="K83" s="5">
        <f t="shared" si="6"/>
        <v>97.3</v>
      </c>
      <c r="L83" s="5">
        <v>0.0</v>
      </c>
      <c r="M83" s="5">
        <v>2.632761379</v>
      </c>
      <c r="N83" s="5">
        <v>0.01909892327</v>
      </c>
      <c r="O83" s="5">
        <v>94.2718842</v>
      </c>
      <c r="P83" s="5">
        <v>0.0</v>
      </c>
      <c r="Q83" s="5">
        <v>5.703923618</v>
      </c>
      <c r="R83" s="5">
        <v>0.02419218345</v>
      </c>
      <c r="S83" s="5">
        <v>99.44615394</v>
      </c>
      <c r="T83" s="5">
        <v>0.0</v>
      </c>
      <c r="U83" s="5">
        <v>0.538220742</v>
      </c>
      <c r="V83" s="5">
        <v>0.01562531586</v>
      </c>
      <c r="W83" s="7">
        <f t="shared" si="7"/>
        <v>22</v>
      </c>
    </row>
    <row r="84">
      <c r="A84" s="5" t="s">
        <v>146</v>
      </c>
      <c r="B84" s="5" t="s">
        <v>79</v>
      </c>
      <c r="C84" s="5">
        <v>3280.814941</v>
      </c>
      <c r="D84" s="5">
        <f t="shared" si="1"/>
        <v>4</v>
      </c>
      <c r="E84" s="5">
        <v>49.02000046</v>
      </c>
      <c r="F84" s="5">
        <f t="shared" si="2"/>
        <v>49</v>
      </c>
      <c r="G84" s="5">
        <f t="shared" si="3"/>
        <v>1608.255499</v>
      </c>
      <c r="H84" s="5">
        <f t="shared" si="4"/>
        <v>50.97999954</v>
      </c>
      <c r="I84" s="5">
        <f t="shared" si="5"/>
        <v>51</v>
      </c>
      <c r="J84" s="5">
        <v>96.11389762</v>
      </c>
      <c r="K84" s="5">
        <f t="shared" si="6"/>
        <v>96.1</v>
      </c>
      <c r="L84" s="5">
        <v>3.823663938</v>
      </c>
      <c r="M84" s="5">
        <v>0.06243843752</v>
      </c>
      <c r="N84" s="5">
        <v>0.0</v>
      </c>
      <c r="O84" s="5">
        <v>97.33333333</v>
      </c>
      <c r="P84" s="5">
        <v>2.666666667</v>
      </c>
      <c r="Q84" s="5">
        <v>0.0</v>
      </c>
      <c r="R84" s="5">
        <v>0.0</v>
      </c>
      <c r="S84" s="5">
        <v>94.8457044</v>
      </c>
      <c r="T84" s="5">
        <v>5.026922206</v>
      </c>
      <c r="U84" s="5">
        <v>0.1273733928</v>
      </c>
      <c r="V84" s="5">
        <v>0.0</v>
      </c>
      <c r="W84" s="7">
        <f t="shared" si="7"/>
        <v>22</v>
      </c>
    </row>
    <row r="85">
      <c r="A85" s="5" t="s">
        <v>147</v>
      </c>
      <c r="B85" s="5" t="s">
        <v>43</v>
      </c>
      <c r="C85" s="5">
        <v>4270.562988</v>
      </c>
      <c r="D85" s="5">
        <f t="shared" si="1"/>
        <v>5</v>
      </c>
      <c r="E85" s="5">
        <v>100.0</v>
      </c>
      <c r="F85" s="5">
        <f t="shared" si="2"/>
        <v>100</v>
      </c>
      <c r="G85" s="5">
        <f t="shared" si="3"/>
        <v>4270.562988</v>
      </c>
      <c r="H85" s="5">
        <f t="shared" si="4"/>
        <v>0</v>
      </c>
      <c r="I85" s="5">
        <f t="shared" si="5"/>
        <v>0</v>
      </c>
      <c r="J85" s="5">
        <v>100.0</v>
      </c>
      <c r="K85" s="5">
        <f t="shared" si="6"/>
        <v>100</v>
      </c>
      <c r="L85" s="5">
        <v>0.0</v>
      </c>
      <c r="M85" s="5">
        <v>0.0</v>
      </c>
      <c r="N85" s="5">
        <v>0.0</v>
      </c>
      <c r="O85" s="5" t="s">
        <v>25</v>
      </c>
      <c r="P85" s="5" t="s">
        <v>25</v>
      </c>
      <c r="Q85" s="5" t="s">
        <v>25</v>
      </c>
      <c r="R85" s="5" t="s">
        <v>25</v>
      </c>
      <c r="S85" s="5" t="s">
        <v>25</v>
      </c>
      <c r="T85" s="5" t="s">
        <v>25</v>
      </c>
      <c r="U85" s="5" t="s">
        <v>25</v>
      </c>
      <c r="V85" s="5" t="s">
        <v>25</v>
      </c>
      <c r="W85" s="7">
        <f t="shared" si="7"/>
        <v>22</v>
      </c>
    </row>
    <row r="86">
      <c r="A86" s="5" t="s">
        <v>148</v>
      </c>
      <c r="B86" s="5" t="s">
        <v>43</v>
      </c>
      <c r="C86" s="5">
        <v>4822.23291</v>
      </c>
      <c r="D86" s="5">
        <f t="shared" si="1"/>
        <v>5</v>
      </c>
      <c r="E86" s="5">
        <v>86.6989975</v>
      </c>
      <c r="F86" s="5">
        <f t="shared" si="2"/>
        <v>87</v>
      </c>
      <c r="G86" s="5">
        <f t="shared" si="3"/>
        <v>4180.82759</v>
      </c>
      <c r="H86" s="5">
        <f t="shared" si="4"/>
        <v>13.3010025</v>
      </c>
      <c r="I86" s="5">
        <f t="shared" si="5"/>
        <v>13</v>
      </c>
      <c r="J86" s="5">
        <v>100.0000013</v>
      </c>
      <c r="K86" s="5">
        <f t="shared" si="6"/>
        <v>100</v>
      </c>
      <c r="L86" s="5">
        <v>0.0</v>
      </c>
      <c r="M86" s="5">
        <v>0.0</v>
      </c>
      <c r="N86" s="5">
        <v>0.0</v>
      </c>
      <c r="O86" s="5">
        <v>100.0</v>
      </c>
      <c r="P86" s="5">
        <v>0.0</v>
      </c>
      <c r="Q86" s="5">
        <v>0.0</v>
      </c>
      <c r="R86" s="5">
        <v>0.0</v>
      </c>
      <c r="S86" s="5">
        <v>100.0</v>
      </c>
      <c r="T86" s="5">
        <v>0.0</v>
      </c>
      <c r="U86" s="5">
        <v>0.0</v>
      </c>
      <c r="V86" s="5">
        <v>0.0</v>
      </c>
      <c r="W86" s="7">
        <f t="shared" si="7"/>
        <v>22</v>
      </c>
    </row>
    <row r="87">
      <c r="A87" s="5" t="s">
        <v>149</v>
      </c>
      <c r="B87" s="5" t="s">
        <v>43</v>
      </c>
      <c r="C87" s="5">
        <v>4314.768066</v>
      </c>
      <c r="D87" s="5">
        <f t="shared" si="1"/>
        <v>5</v>
      </c>
      <c r="E87" s="5">
        <v>68.41400146</v>
      </c>
      <c r="F87" s="5">
        <f t="shared" si="2"/>
        <v>68</v>
      </c>
      <c r="G87" s="5">
        <f t="shared" si="3"/>
        <v>2951.905488</v>
      </c>
      <c r="H87" s="5">
        <f t="shared" si="4"/>
        <v>31.58599854</v>
      </c>
      <c r="I87" s="5">
        <f t="shared" si="5"/>
        <v>32</v>
      </c>
      <c r="J87" s="5">
        <v>94.37254436</v>
      </c>
      <c r="K87" s="5">
        <f t="shared" si="6"/>
        <v>94.4</v>
      </c>
      <c r="L87" s="5">
        <v>1.873480592</v>
      </c>
      <c r="M87" s="5">
        <v>2.262304247</v>
      </c>
      <c r="N87" s="5">
        <v>1.491670799</v>
      </c>
      <c r="O87" s="5">
        <v>86.32308326</v>
      </c>
      <c r="P87" s="5">
        <v>1.791982583</v>
      </c>
      <c r="Q87" s="5">
        <v>7.162364342</v>
      </c>
      <c r="R87" s="5">
        <v>4.722569811</v>
      </c>
      <c r="S87" s="5">
        <v>98.08889267</v>
      </c>
      <c r="T87" s="5">
        <v>1.911107333</v>
      </c>
      <c r="U87" s="5">
        <v>0.0</v>
      </c>
      <c r="V87" s="5">
        <v>0.0</v>
      </c>
      <c r="W87" s="7">
        <f t="shared" si="7"/>
        <v>22</v>
      </c>
    </row>
    <row r="88">
      <c r="A88" s="5" t="s">
        <v>153</v>
      </c>
      <c r="B88" s="5" t="s">
        <v>43</v>
      </c>
      <c r="C88" s="5">
        <v>4937.795898</v>
      </c>
      <c r="D88" s="5">
        <f t="shared" si="1"/>
        <v>5</v>
      </c>
      <c r="E88" s="5">
        <v>63.65299988</v>
      </c>
      <c r="F88" s="5">
        <f t="shared" si="2"/>
        <v>64</v>
      </c>
      <c r="G88" s="5">
        <f t="shared" si="3"/>
        <v>3143.055217</v>
      </c>
      <c r="H88" s="5">
        <f t="shared" si="4"/>
        <v>36.34700012</v>
      </c>
      <c r="I88" s="5">
        <f t="shared" si="5"/>
        <v>36</v>
      </c>
      <c r="J88" s="5">
        <v>97.39970651</v>
      </c>
      <c r="K88" s="5">
        <f t="shared" si="6"/>
        <v>97.4</v>
      </c>
      <c r="L88" s="5">
        <v>0.0</v>
      </c>
      <c r="M88" s="5">
        <v>2.600293485</v>
      </c>
      <c r="N88" s="5">
        <v>0.0</v>
      </c>
      <c r="O88" s="5">
        <v>98.13492075</v>
      </c>
      <c r="P88" s="5">
        <v>0.0</v>
      </c>
      <c r="Q88" s="5">
        <v>1.865079247</v>
      </c>
      <c r="R88" s="5">
        <v>0.0</v>
      </c>
      <c r="S88" s="5">
        <v>96.97988603</v>
      </c>
      <c r="T88" s="5">
        <v>0.0</v>
      </c>
      <c r="U88" s="5">
        <v>3.020113966</v>
      </c>
      <c r="V88" s="5">
        <v>0.0</v>
      </c>
      <c r="W88" s="7">
        <f t="shared" si="7"/>
        <v>22</v>
      </c>
    </row>
    <row r="89">
      <c r="A89" s="5" t="s">
        <v>157</v>
      </c>
      <c r="B89" s="5" t="s">
        <v>43</v>
      </c>
      <c r="C89" s="5">
        <v>4105.268066</v>
      </c>
      <c r="D89" s="5">
        <f t="shared" si="1"/>
        <v>5</v>
      </c>
      <c r="E89" s="5">
        <v>57.55299759</v>
      </c>
      <c r="F89" s="5">
        <f t="shared" si="2"/>
        <v>58</v>
      </c>
      <c r="G89" s="5">
        <f t="shared" si="3"/>
        <v>2362.704831</v>
      </c>
      <c r="H89" s="5">
        <f t="shared" si="4"/>
        <v>42.44700241</v>
      </c>
      <c r="I89" s="5">
        <f t="shared" si="5"/>
        <v>42</v>
      </c>
      <c r="J89" s="5" t="s">
        <v>25</v>
      </c>
      <c r="K89" s="9" t="s">
        <v>25</v>
      </c>
      <c r="L89" s="5" t="s">
        <v>25</v>
      </c>
      <c r="M89" s="5" t="s">
        <v>25</v>
      </c>
      <c r="N89" s="5" t="s">
        <v>25</v>
      </c>
      <c r="O89" s="5" t="s">
        <v>25</v>
      </c>
      <c r="P89" s="5" t="s">
        <v>25</v>
      </c>
      <c r="Q89" s="5" t="s">
        <v>25</v>
      </c>
      <c r="R89" s="5" t="s">
        <v>25</v>
      </c>
      <c r="S89" s="5">
        <v>100.0</v>
      </c>
      <c r="T89" s="5">
        <v>0.0</v>
      </c>
      <c r="U89" s="5">
        <v>0.0</v>
      </c>
      <c r="V89" s="5">
        <v>0.0</v>
      </c>
      <c r="W89" s="7">
        <f t="shared" si="7"/>
        <v>22</v>
      </c>
    </row>
    <row r="90">
      <c r="A90" s="5" t="s">
        <v>158</v>
      </c>
      <c r="B90" s="5" t="s">
        <v>89</v>
      </c>
      <c r="C90" s="5">
        <v>4649.660156</v>
      </c>
      <c r="D90" s="5">
        <f t="shared" si="1"/>
        <v>5</v>
      </c>
      <c r="E90" s="5">
        <v>55.32699585</v>
      </c>
      <c r="F90" s="5">
        <f t="shared" si="2"/>
        <v>55</v>
      </c>
      <c r="G90" s="5">
        <f t="shared" si="3"/>
        <v>2572.517282</v>
      </c>
      <c r="H90" s="5">
        <f t="shared" si="4"/>
        <v>44.67300415</v>
      </c>
      <c r="I90" s="5">
        <f t="shared" si="5"/>
        <v>45</v>
      </c>
      <c r="J90" s="5">
        <v>71.68104923</v>
      </c>
      <c r="K90" s="5">
        <f t="shared" ref="K90:K182" si="8">ROUND(J90,1)</f>
        <v>71.7</v>
      </c>
      <c r="L90" s="5">
        <v>13.47689193</v>
      </c>
      <c r="M90" s="5">
        <v>14.82032681</v>
      </c>
      <c r="N90" s="5">
        <v>0.02173203433</v>
      </c>
      <c r="O90" s="5">
        <v>49.9113389</v>
      </c>
      <c r="P90" s="5">
        <v>18.49039689</v>
      </c>
      <c r="Q90" s="5">
        <v>31.5496173</v>
      </c>
      <c r="R90" s="5">
        <v>0.04864690722</v>
      </c>
      <c r="S90" s="5">
        <v>89.25869465</v>
      </c>
      <c r="T90" s="5">
        <v>9.428808083</v>
      </c>
      <c r="U90" s="5">
        <v>1.31249727</v>
      </c>
      <c r="V90" s="5">
        <v>0.0</v>
      </c>
      <c r="W90" s="7">
        <f t="shared" si="7"/>
        <v>22</v>
      </c>
    </row>
    <row r="91">
      <c r="A91" s="5" t="s">
        <v>159</v>
      </c>
      <c r="B91" s="5" t="s">
        <v>79</v>
      </c>
      <c r="C91" s="5">
        <v>4033.962891</v>
      </c>
      <c r="D91" s="5">
        <f t="shared" si="1"/>
        <v>5</v>
      </c>
      <c r="E91" s="5">
        <v>42.84900284</v>
      </c>
      <c r="F91" s="5">
        <f t="shared" si="2"/>
        <v>43</v>
      </c>
      <c r="G91" s="5">
        <f t="shared" si="3"/>
        <v>1728.512874</v>
      </c>
      <c r="H91" s="5">
        <f t="shared" si="4"/>
        <v>57.15099716</v>
      </c>
      <c r="I91" s="5">
        <f t="shared" si="5"/>
        <v>57</v>
      </c>
      <c r="J91" s="5">
        <v>90.56996224</v>
      </c>
      <c r="K91" s="5">
        <f t="shared" si="8"/>
        <v>90.6</v>
      </c>
      <c r="L91" s="5">
        <v>1.519776762</v>
      </c>
      <c r="M91" s="5">
        <v>7.910260997</v>
      </c>
      <c r="N91" s="5">
        <v>0.0</v>
      </c>
      <c r="O91" s="5">
        <v>85.48103812</v>
      </c>
      <c r="P91" s="5">
        <v>1.52256302</v>
      </c>
      <c r="Q91" s="5">
        <v>12.99639886</v>
      </c>
      <c r="R91" s="5">
        <v>0.0</v>
      </c>
      <c r="S91" s="5">
        <v>97.35744448</v>
      </c>
      <c r="T91" s="5">
        <v>1.516060408</v>
      </c>
      <c r="U91" s="5">
        <v>1.126495111</v>
      </c>
      <c r="V91" s="5">
        <v>0.0</v>
      </c>
      <c r="W91" s="7">
        <f t="shared" si="7"/>
        <v>22</v>
      </c>
    </row>
    <row r="92">
      <c r="A92" s="5" t="s">
        <v>160</v>
      </c>
      <c r="B92" s="5" t="s">
        <v>126</v>
      </c>
      <c r="C92" s="5">
        <v>4829.76416</v>
      </c>
      <c r="D92" s="5">
        <f t="shared" si="1"/>
        <v>5</v>
      </c>
      <c r="E92" s="5">
        <v>42.19799805</v>
      </c>
      <c r="F92" s="5">
        <f t="shared" si="2"/>
        <v>42</v>
      </c>
      <c r="G92" s="5">
        <f t="shared" si="3"/>
        <v>2038.063786</v>
      </c>
      <c r="H92" s="5">
        <f t="shared" si="4"/>
        <v>57.80200195</v>
      </c>
      <c r="I92" s="5">
        <f t="shared" si="5"/>
        <v>58</v>
      </c>
      <c r="J92" s="5">
        <v>37.20240205</v>
      </c>
      <c r="K92" s="5">
        <f t="shared" si="8"/>
        <v>37.2</v>
      </c>
      <c r="L92" s="5">
        <v>25.68237348</v>
      </c>
      <c r="M92" s="5">
        <v>33.53911377</v>
      </c>
      <c r="N92" s="5">
        <v>3.576110708</v>
      </c>
      <c r="O92" s="5">
        <v>28.10659415</v>
      </c>
      <c r="P92" s="5">
        <v>19.4058899</v>
      </c>
      <c r="Q92" s="5">
        <v>46.37307301</v>
      </c>
      <c r="R92" s="5">
        <v>6.114442944</v>
      </c>
      <c r="S92" s="5">
        <v>49.66166495</v>
      </c>
      <c r="T92" s="5">
        <v>34.27978009</v>
      </c>
      <c r="U92" s="5">
        <v>15.95940214</v>
      </c>
      <c r="V92" s="5">
        <v>0.09915281712</v>
      </c>
      <c r="W92" s="7">
        <f t="shared" si="7"/>
        <v>22</v>
      </c>
    </row>
    <row r="93">
      <c r="A93" s="5" t="s">
        <v>161</v>
      </c>
      <c r="B93" s="5" t="s">
        <v>43</v>
      </c>
      <c r="C93" s="5">
        <v>5850.342773</v>
      </c>
      <c r="D93" s="5">
        <f t="shared" si="1"/>
        <v>6</v>
      </c>
      <c r="E93" s="5">
        <v>100.0</v>
      </c>
      <c r="F93" s="5">
        <f t="shared" si="2"/>
        <v>100</v>
      </c>
      <c r="G93" s="5">
        <f t="shared" si="3"/>
        <v>5850.342773</v>
      </c>
      <c r="H93" s="5">
        <f t="shared" si="4"/>
        <v>0</v>
      </c>
      <c r="I93" s="5">
        <f t="shared" si="5"/>
        <v>0</v>
      </c>
      <c r="J93" s="5">
        <v>100.0</v>
      </c>
      <c r="K93" s="5">
        <f t="shared" si="8"/>
        <v>100</v>
      </c>
      <c r="L93" s="5">
        <v>0.0</v>
      </c>
      <c r="M93" s="5">
        <v>0.0</v>
      </c>
      <c r="N93" s="5">
        <v>0.0</v>
      </c>
      <c r="O93" s="5" t="s">
        <v>25</v>
      </c>
      <c r="P93" s="5" t="s">
        <v>25</v>
      </c>
      <c r="Q93" s="5" t="s">
        <v>25</v>
      </c>
      <c r="R93" s="5" t="s">
        <v>25</v>
      </c>
      <c r="S93" s="5">
        <v>100.0</v>
      </c>
      <c r="T93" s="5">
        <v>0.0</v>
      </c>
      <c r="U93" s="5">
        <v>0.0</v>
      </c>
      <c r="V93" s="5">
        <v>0.0</v>
      </c>
      <c r="W93" s="7">
        <f t="shared" si="7"/>
        <v>22</v>
      </c>
    </row>
    <row r="94">
      <c r="A94" s="5" t="s">
        <v>163</v>
      </c>
      <c r="B94" s="5" t="s">
        <v>43</v>
      </c>
      <c r="C94" s="5">
        <v>5792.203125</v>
      </c>
      <c r="D94" s="5">
        <f t="shared" si="1"/>
        <v>6</v>
      </c>
      <c r="E94" s="5">
        <v>88.11600494</v>
      </c>
      <c r="F94" s="5">
        <f t="shared" si="2"/>
        <v>88</v>
      </c>
      <c r="G94" s="5">
        <f t="shared" si="3"/>
        <v>5103.857992</v>
      </c>
      <c r="H94" s="5">
        <f t="shared" si="4"/>
        <v>11.88399506</v>
      </c>
      <c r="I94" s="5">
        <f t="shared" si="5"/>
        <v>12</v>
      </c>
      <c r="J94" s="5">
        <v>100.0000011</v>
      </c>
      <c r="K94" s="5">
        <f t="shared" si="8"/>
        <v>100</v>
      </c>
      <c r="L94" s="5">
        <v>0.0</v>
      </c>
      <c r="M94" s="5">
        <v>0.0</v>
      </c>
      <c r="N94" s="5">
        <v>0.0</v>
      </c>
      <c r="O94" s="5">
        <v>100.0</v>
      </c>
      <c r="P94" s="5">
        <v>0.0</v>
      </c>
      <c r="Q94" s="5">
        <v>0.0</v>
      </c>
      <c r="R94" s="5">
        <v>0.0</v>
      </c>
      <c r="S94" s="5">
        <v>100.0</v>
      </c>
      <c r="T94" s="5">
        <v>0.0</v>
      </c>
      <c r="U94" s="5">
        <v>0.0</v>
      </c>
      <c r="V94" s="5">
        <v>0.0</v>
      </c>
      <c r="W94" s="7">
        <f t="shared" si="7"/>
        <v>22</v>
      </c>
    </row>
    <row r="95">
      <c r="A95" s="5" t="s">
        <v>164</v>
      </c>
      <c r="B95" s="5" t="s">
        <v>43</v>
      </c>
      <c r="C95" s="5">
        <v>5106.62207</v>
      </c>
      <c r="D95" s="5">
        <f t="shared" si="1"/>
        <v>6</v>
      </c>
      <c r="E95" s="5">
        <v>86.27599335</v>
      </c>
      <c r="F95" s="5">
        <f t="shared" si="2"/>
        <v>86</v>
      </c>
      <c r="G95" s="5">
        <f t="shared" si="3"/>
        <v>4405.788918</v>
      </c>
      <c r="H95" s="5">
        <f t="shared" si="4"/>
        <v>13.72400665</v>
      </c>
      <c r="I95" s="5">
        <f t="shared" si="5"/>
        <v>14</v>
      </c>
      <c r="J95" s="5">
        <v>92.16802469</v>
      </c>
      <c r="K95" s="5">
        <f t="shared" si="8"/>
        <v>92.2</v>
      </c>
      <c r="L95" s="5">
        <v>7.541419893</v>
      </c>
      <c r="M95" s="5">
        <v>0.2604052036</v>
      </c>
      <c r="N95" s="5">
        <v>0.03015021745</v>
      </c>
      <c r="O95" s="5">
        <v>76.25077991</v>
      </c>
      <c r="P95" s="5">
        <v>21.63212113</v>
      </c>
      <c r="Q95" s="5">
        <v>1.897409218</v>
      </c>
      <c r="R95" s="5">
        <v>0.2196897375</v>
      </c>
      <c r="S95" s="5">
        <v>94.7</v>
      </c>
      <c r="T95" s="5">
        <v>5.3</v>
      </c>
      <c r="U95" s="5">
        <v>0.0</v>
      </c>
      <c r="V95" s="5">
        <v>0.0</v>
      </c>
      <c r="W95" s="7">
        <f t="shared" si="7"/>
        <v>22</v>
      </c>
    </row>
    <row r="96">
      <c r="A96" s="5" t="s">
        <v>165</v>
      </c>
      <c r="B96" s="5" t="s">
        <v>43</v>
      </c>
      <c r="C96" s="5">
        <v>5540.717773</v>
      </c>
      <c r="D96" s="5">
        <f t="shared" si="1"/>
        <v>6</v>
      </c>
      <c r="E96" s="5">
        <v>85.51700592</v>
      </c>
      <c r="F96" s="5">
        <f t="shared" si="2"/>
        <v>86</v>
      </c>
      <c r="G96" s="5">
        <f t="shared" si="3"/>
        <v>4738.255946</v>
      </c>
      <c r="H96" s="5">
        <f t="shared" si="4"/>
        <v>14.48299408</v>
      </c>
      <c r="I96" s="5">
        <f t="shared" si="5"/>
        <v>14</v>
      </c>
      <c r="J96" s="5">
        <v>100.0000033</v>
      </c>
      <c r="K96" s="5">
        <f t="shared" si="8"/>
        <v>100</v>
      </c>
      <c r="L96" s="5">
        <v>0.0</v>
      </c>
      <c r="M96" s="5">
        <v>0.0</v>
      </c>
      <c r="N96" s="5">
        <v>0.0</v>
      </c>
      <c r="O96" s="5">
        <v>100.0</v>
      </c>
      <c r="P96" s="5">
        <v>0.0</v>
      </c>
      <c r="Q96" s="5">
        <v>0.0</v>
      </c>
      <c r="R96" s="5">
        <v>0.0</v>
      </c>
      <c r="S96" s="5">
        <v>100.0</v>
      </c>
      <c r="T96" s="5">
        <v>0.0</v>
      </c>
      <c r="U96" s="5">
        <v>0.0</v>
      </c>
      <c r="V96" s="5">
        <v>0.0</v>
      </c>
      <c r="W96" s="7">
        <f t="shared" si="7"/>
        <v>22</v>
      </c>
    </row>
    <row r="97">
      <c r="A97" s="5" t="s">
        <v>167</v>
      </c>
      <c r="B97" s="5" t="s">
        <v>43</v>
      </c>
      <c r="C97" s="5">
        <v>5421.242188</v>
      </c>
      <c r="D97" s="5">
        <f t="shared" si="1"/>
        <v>6</v>
      </c>
      <c r="E97" s="5">
        <v>82.97399139</v>
      </c>
      <c r="F97" s="5">
        <f t="shared" si="2"/>
        <v>83</v>
      </c>
      <c r="G97" s="5">
        <f t="shared" si="3"/>
        <v>4498.221026</v>
      </c>
      <c r="H97" s="5">
        <f t="shared" si="4"/>
        <v>17.02600861</v>
      </c>
      <c r="I97" s="5">
        <f t="shared" si="5"/>
        <v>17</v>
      </c>
      <c r="J97" s="5">
        <v>99.9999955</v>
      </c>
      <c r="K97" s="5">
        <f t="shared" si="8"/>
        <v>100</v>
      </c>
      <c r="L97" s="5">
        <v>0.0</v>
      </c>
      <c r="M97" s="5">
        <v>4.503407453E-6</v>
      </c>
      <c r="N97" s="5">
        <v>0.0</v>
      </c>
      <c r="O97" s="5">
        <v>100.0</v>
      </c>
      <c r="P97" s="5">
        <v>0.0</v>
      </c>
      <c r="Q97" s="5">
        <v>0.0</v>
      </c>
      <c r="R97" s="5">
        <v>0.0</v>
      </c>
      <c r="S97" s="5">
        <v>100.0</v>
      </c>
      <c r="T97" s="5">
        <v>0.0</v>
      </c>
      <c r="U97" s="5">
        <v>0.0</v>
      </c>
      <c r="V97" s="5">
        <v>0.0</v>
      </c>
      <c r="W97" s="7">
        <f t="shared" si="7"/>
        <v>22</v>
      </c>
    </row>
    <row r="98">
      <c r="A98" s="5" t="s">
        <v>168</v>
      </c>
      <c r="B98" s="5" t="s">
        <v>79</v>
      </c>
      <c r="C98" s="5">
        <v>5094.11377</v>
      </c>
      <c r="D98" s="5">
        <f t="shared" si="1"/>
        <v>6</v>
      </c>
      <c r="E98" s="5">
        <v>80.77099609</v>
      </c>
      <c r="F98" s="5">
        <f t="shared" si="2"/>
        <v>81</v>
      </c>
      <c r="G98" s="5">
        <f t="shared" si="3"/>
        <v>4114.566434</v>
      </c>
      <c r="H98" s="5">
        <f t="shared" si="4"/>
        <v>19.22900391</v>
      </c>
      <c r="I98" s="5">
        <f t="shared" si="5"/>
        <v>19</v>
      </c>
      <c r="J98" s="5">
        <v>99.81053693</v>
      </c>
      <c r="K98" s="5">
        <f t="shared" si="8"/>
        <v>99.8</v>
      </c>
      <c r="L98" s="5">
        <v>0.1894594746</v>
      </c>
      <c r="M98" s="5">
        <v>3.594451897E-6</v>
      </c>
      <c r="N98" s="5">
        <v>0.0</v>
      </c>
      <c r="O98" s="5">
        <v>99.64625</v>
      </c>
      <c r="P98" s="5">
        <v>0.35375</v>
      </c>
      <c r="Q98" s="5">
        <v>0.0</v>
      </c>
      <c r="R98" s="5">
        <v>0.0</v>
      </c>
      <c r="S98" s="5">
        <v>99.84965286</v>
      </c>
      <c r="T98" s="5">
        <v>0.1503471429</v>
      </c>
      <c r="U98" s="5">
        <v>0.0</v>
      </c>
      <c r="V98" s="5">
        <v>0.0</v>
      </c>
      <c r="W98" s="7">
        <f t="shared" si="7"/>
        <v>22</v>
      </c>
    </row>
    <row r="99">
      <c r="A99" s="5" t="s">
        <v>169</v>
      </c>
      <c r="B99" s="5" t="s">
        <v>89</v>
      </c>
      <c r="C99" s="5">
        <v>5101.416016</v>
      </c>
      <c r="D99" s="5">
        <f t="shared" si="1"/>
        <v>6</v>
      </c>
      <c r="E99" s="5">
        <v>76.71899414</v>
      </c>
      <c r="F99" s="5">
        <f t="shared" si="2"/>
        <v>77</v>
      </c>
      <c r="G99" s="5">
        <f t="shared" si="3"/>
        <v>3913.755054</v>
      </c>
      <c r="H99" s="5">
        <f t="shared" si="4"/>
        <v>23.28100586</v>
      </c>
      <c r="I99" s="5">
        <f t="shared" si="5"/>
        <v>23</v>
      </c>
      <c r="J99" s="5">
        <v>97.88039722</v>
      </c>
      <c r="K99" s="5">
        <f t="shared" si="8"/>
        <v>97.9</v>
      </c>
      <c r="L99" s="5">
        <v>1.029979486</v>
      </c>
      <c r="M99" s="5">
        <v>1.089623295</v>
      </c>
      <c r="N99" s="5" t="s">
        <v>25</v>
      </c>
      <c r="O99" s="5">
        <v>98.71555642</v>
      </c>
      <c r="P99" s="5">
        <v>0.3174006273</v>
      </c>
      <c r="Q99" s="5">
        <v>0.9670429576</v>
      </c>
      <c r="R99" s="5" t="s">
        <v>25</v>
      </c>
      <c r="S99" s="5">
        <v>97.62696443</v>
      </c>
      <c r="T99" s="5">
        <v>1.246217358</v>
      </c>
      <c r="U99" s="5">
        <v>1.126818208</v>
      </c>
      <c r="V99" s="5" t="s">
        <v>25</v>
      </c>
      <c r="W99" s="7">
        <f t="shared" si="7"/>
        <v>22</v>
      </c>
    </row>
    <row r="100">
      <c r="A100" s="5" t="s">
        <v>170</v>
      </c>
      <c r="B100" s="5" t="s">
        <v>89</v>
      </c>
      <c r="C100" s="5">
        <v>5518.091797</v>
      </c>
      <c r="D100" s="5">
        <f t="shared" si="1"/>
        <v>6</v>
      </c>
      <c r="E100" s="5">
        <v>67.82900238</v>
      </c>
      <c r="F100" s="5">
        <f t="shared" si="2"/>
        <v>68</v>
      </c>
      <c r="G100" s="5">
        <f t="shared" si="3"/>
        <v>3742.866616</v>
      </c>
      <c r="H100" s="5">
        <f t="shared" si="4"/>
        <v>32.17099762</v>
      </c>
      <c r="I100" s="5">
        <f t="shared" si="5"/>
        <v>32</v>
      </c>
      <c r="J100" s="5">
        <v>73.78451158</v>
      </c>
      <c r="K100" s="5">
        <f t="shared" si="8"/>
        <v>73.8</v>
      </c>
      <c r="L100" s="5">
        <v>10.46117203</v>
      </c>
      <c r="M100" s="5">
        <v>9.559180722</v>
      </c>
      <c r="N100" s="5">
        <v>6.195135664</v>
      </c>
      <c r="O100" s="5">
        <v>45.72441318</v>
      </c>
      <c r="P100" s="5">
        <v>10.6323901</v>
      </c>
      <c r="Q100" s="5">
        <v>24.40516973</v>
      </c>
      <c r="R100" s="5">
        <v>19.23802699</v>
      </c>
      <c r="S100" s="5">
        <v>87.09329616</v>
      </c>
      <c r="T100" s="5">
        <v>10.37996439</v>
      </c>
      <c r="U100" s="5">
        <v>2.517789997</v>
      </c>
      <c r="V100" s="5">
        <v>0.008949452055</v>
      </c>
      <c r="W100" s="7">
        <f t="shared" si="7"/>
        <v>22</v>
      </c>
    </row>
    <row r="101">
      <c r="A101" s="5" t="s">
        <v>171</v>
      </c>
      <c r="B101" s="5" t="s">
        <v>43</v>
      </c>
      <c r="C101" s="5">
        <v>5459.643066</v>
      </c>
      <c r="D101" s="5">
        <f t="shared" si="1"/>
        <v>6</v>
      </c>
      <c r="E101" s="5">
        <v>53.75999832</v>
      </c>
      <c r="F101" s="5">
        <f t="shared" si="2"/>
        <v>54</v>
      </c>
      <c r="G101" s="5">
        <f t="shared" si="3"/>
        <v>2935.104021</v>
      </c>
      <c r="H101" s="5">
        <f t="shared" si="4"/>
        <v>46.24000168</v>
      </c>
      <c r="I101" s="5">
        <f t="shared" si="5"/>
        <v>46</v>
      </c>
      <c r="J101" s="5">
        <v>99.78769858</v>
      </c>
      <c r="K101" s="5">
        <f t="shared" si="8"/>
        <v>99.8</v>
      </c>
      <c r="L101" s="5">
        <v>0.2123014241</v>
      </c>
      <c r="M101" s="5">
        <v>0.0</v>
      </c>
      <c r="N101" s="5">
        <v>0.0</v>
      </c>
      <c r="O101" s="5">
        <v>100.0</v>
      </c>
      <c r="P101" s="5">
        <v>0.0</v>
      </c>
      <c r="Q101" s="5">
        <v>0.0</v>
      </c>
      <c r="R101" s="5">
        <v>0.0</v>
      </c>
      <c r="S101" s="5">
        <v>99.60509406</v>
      </c>
      <c r="T101" s="5">
        <v>0.3949059374</v>
      </c>
      <c r="U101" s="5">
        <v>0.0</v>
      </c>
      <c r="V101" s="5">
        <v>0.0</v>
      </c>
      <c r="W101" s="7">
        <f t="shared" si="7"/>
        <v>22</v>
      </c>
    </row>
    <row r="102">
      <c r="A102" s="5" t="s">
        <v>172</v>
      </c>
      <c r="B102" s="5" t="s">
        <v>126</v>
      </c>
      <c r="C102" s="5">
        <v>5057.676758</v>
      </c>
      <c r="D102" s="5">
        <f t="shared" si="1"/>
        <v>6</v>
      </c>
      <c r="E102" s="5">
        <v>52.08899689</v>
      </c>
      <c r="F102" s="5">
        <f t="shared" si="2"/>
        <v>52</v>
      </c>
      <c r="G102" s="5">
        <f t="shared" si="3"/>
        <v>2634.493089</v>
      </c>
      <c r="H102" s="5">
        <f t="shared" si="4"/>
        <v>47.91100311</v>
      </c>
      <c r="I102" s="5">
        <f t="shared" si="5"/>
        <v>48</v>
      </c>
      <c r="J102" s="5">
        <v>75.26179159</v>
      </c>
      <c r="K102" s="5">
        <f t="shared" si="8"/>
        <v>75.3</v>
      </c>
      <c r="L102" s="5">
        <v>8.700657475</v>
      </c>
      <c r="M102" s="5">
        <v>3.488080869</v>
      </c>
      <c r="N102" s="5">
        <v>12.54947006</v>
      </c>
      <c r="O102" s="5">
        <v>64.10021689</v>
      </c>
      <c r="P102" s="5">
        <v>6.537775797</v>
      </c>
      <c r="Q102" s="5">
        <v>3.383709875</v>
      </c>
      <c r="R102" s="5">
        <v>25.97829744</v>
      </c>
      <c r="S102" s="5">
        <v>85.52810963</v>
      </c>
      <c r="T102" s="5">
        <v>10.69005698</v>
      </c>
      <c r="U102" s="5">
        <v>3.58408039</v>
      </c>
      <c r="V102" s="5">
        <v>0.1977530006</v>
      </c>
      <c r="W102" s="7">
        <f t="shared" si="7"/>
        <v>22</v>
      </c>
    </row>
    <row r="103">
      <c r="A103" s="5" t="s">
        <v>173</v>
      </c>
      <c r="B103" s="5" t="s">
        <v>89</v>
      </c>
      <c r="C103" s="5">
        <v>6825.441895</v>
      </c>
      <c r="D103" s="5">
        <f t="shared" si="1"/>
        <v>7</v>
      </c>
      <c r="E103" s="5">
        <v>88.92499542</v>
      </c>
      <c r="F103" s="5">
        <f t="shared" si="2"/>
        <v>89</v>
      </c>
      <c r="G103" s="5">
        <f t="shared" si="3"/>
        <v>6069.523893</v>
      </c>
      <c r="H103" s="5">
        <f t="shared" si="4"/>
        <v>11.07500458</v>
      </c>
      <c r="I103" s="5">
        <f t="shared" si="5"/>
        <v>11</v>
      </c>
      <c r="J103" s="5">
        <v>92.6</v>
      </c>
      <c r="K103" s="5">
        <f t="shared" si="8"/>
        <v>92.6</v>
      </c>
      <c r="L103" s="5">
        <v>7.4</v>
      </c>
      <c r="M103" s="5">
        <v>0.0</v>
      </c>
      <c r="N103" s="5">
        <v>0.0</v>
      </c>
      <c r="O103" s="5" t="s">
        <v>25</v>
      </c>
      <c r="P103" s="5" t="s">
        <v>25</v>
      </c>
      <c r="Q103" s="5" t="s">
        <v>25</v>
      </c>
      <c r="R103" s="5" t="s">
        <v>25</v>
      </c>
      <c r="S103" s="5" t="s">
        <v>25</v>
      </c>
      <c r="T103" s="5" t="s">
        <v>25</v>
      </c>
      <c r="U103" s="5" t="s">
        <v>25</v>
      </c>
      <c r="V103" s="5" t="s">
        <v>25</v>
      </c>
      <c r="W103" s="7">
        <f t="shared" si="7"/>
        <v>22</v>
      </c>
    </row>
    <row r="104">
      <c r="A104" s="5" t="s">
        <v>174</v>
      </c>
      <c r="B104" s="5" t="s">
        <v>79</v>
      </c>
      <c r="C104" s="5">
        <v>6871.287109</v>
      </c>
      <c r="D104" s="5">
        <f t="shared" si="1"/>
        <v>7</v>
      </c>
      <c r="E104" s="5">
        <v>80.69100189</v>
      </c>
      <c r="F104" s="5">
        <f t="shared" si="2"/>
        <v>81</v>
      </c>
      <c r="G104" s="5">
        <f t="shared" si="3"/>
        <v>5544.510411</v>
      </c>
      <c r="H104" s="5">
        <f t="shared" si="4"/>
        <v>19.30899811</v>
      </c>
      <c r="I104" s="5">
        <f t="shared" si="5"/>
        <v>19</v>
      </c>
      <c r="J104" s="5">
        <v>99.8915238</v>
      </c>
      <c r="K104" s="5">
        <f t="shared" si="8"/>
        <v>99.9</v>
      </c>
      <c r="L104" s="5">
        <v>0.0</v>
      </c>
      <c r="M104" s="5">
        <v>0.1084762012</v>
      </c>
      <c r="N104" s="5">
        <v>0.0</v>
      </c>
      <c r="O104" s="5" t="s">
        <v>25</v>
      </c>
      <c r="P104" s="5" t="s">
        <v>25</v>
      </c>
      <c r="Q104" s="5" t="s">
        <v>25</v>
      </c>
      <c r="R104" s="5" t="s">
        <v>25</v>
      </c>
      <c r="S104" s="5" t="s">
        <v>25</v>
      </c>
      <c r="T104" s="5" t="s">
        <v>25</v>
      </c>
      <c r="U104" s="5" t="s">
        <v>25</v>
      </c>
      <c r="V104" s="5" t="s">
        <v>25</v>
      </c>
      <c r="W104" s="7">
        <f t="shared" si="7"/>
        <v>22</v>
      </c>
    </row>
    <row r="105">
      <c r="A105" s="5" t="s">
        <v>175</v>
      </c>
      <c r="B105" s="5" t="s">
        <v>79</v>
      </c>
      <c r="C105" s="5">
        <v>6948.444824</v>
      </c>
      <c r="D105" s="5">
        <f t="shared" si="1"/>
        <v>7</v>
      </c>
      <c r="E105" s="5">
        <v>75.68599701</v>
      </c>
      <c r="F105" s="5">
        <f t="shared" si="2"/>
        <v>76</v>
      </c>
      <c r="G105" s="5">
        <f t="shared" si="3"/>
        <v>5258.999742</v>
      </c>
      <c r="H105" s="5">
        <f t="shared" si="4"/>
        <v>24.31400299</v>
      </c>
      <c r="I105" s="5">
        <f t="shared" si="5"/>
        <v>24</v>
      </c>
      <c r="J105" s="5">
        <v>99.01141694</v>
      </c>
      <c r="K105" s="5">
        <f t="shared" si="8"/>
        <v>99</v>
      </c>
      <c r="L105" s="5">
        <v>0.0</v>
      </c>
      <c r="M105" s="5">
        <v>0.9885830607</v>
      </c>
      <c r="N105" s="5">
        <v>0.0</v>
      </c>
      <c r="O105" s="5">
        <v>97.40128797</v>
      </c>
      <c r="P105" s="5">
        <v>0.0</v>
      </c>
      <c r="Q105" s="5">
        <v>2.598712031</v>
      </c>
      <c r="R105" s="5">
        <v>0.0</v>
      </c>
      <c r="S105" s="5">
        <v>99.5286704</v>
      </c>
      <c r="T105" s="5">
        <v>0.0</v>
      </c>
      <c r="U105" s="5">
        <v>0.4713296007</v>
      </c>
      <c r="V105" s="5">
        <v>0.0</v>
      </c>
      <c r="W105" s="7">
        <f t="shared" si="7"/>
        <v>22</v>
      </c>
    </row>
    <row r="106">
      <c r="A106" s="5" t="s">
        <v>176</v>
      </c>
      <c r="B106" s="5" t="s">
        <v>89</v>
      </c>
      <c r="C106" s="5">
        <v>6486.201172</v>
      </c>
      <c r="D106" s="5">
        <f t="shared" si="1"/>
        <v>7</v>
      </c>
      <c r="E106" s="5">
        <v>73.44400024</v>
      </c>
      <c r="F106" s="5">
        <f t="shared" si="2"/>
        <v>73</v>
      </c>
      <c r="G106" s="5">
        <f t="shared" si="3"/>
        <v>4763.725604</v>
      </c>
      <c r="H106" s="5">
        <f t="shared" si="4"/>
        <v>26.55599976</v>
      </c>
      <c r="I106" s="5">
        <f t="shared" si="5"/>
        <v>27</v>
      </c>
      <c r="J106" s="5">
        <v>97.94657541</v>
      </c>
      <c r="K106" s="5">
        <f t="shared" si="8"/>
        <v>97.9</v>
      </c>
      <c r="L106" s="5">
        <v>0.2072632319</v>
      </c>
      <c r="M106" s="5">
        <v>0.3151739969</v>
      </c>
      <c r="N106" s="5">
        <v>1.530987366</v>
      </c>
      <c r="O106" s="5">
        <v>93.45439508</v>
      </c>
      <c r="P106" s="5">
        <v>0.7804762049</v>
      </c>
      <c r="Q106" s="5">
        <v>0.0</v>
      </c>
      <c r="R106" s="5">
        <v>5.765128712</v>
      </c>
      <c r="S106" s="5">
        <v>99.57087001</v>
      </c>
      <c r="T106" s="5">
        <v>0.0</v>
      </c>
      <c r="U106" s="5">
        <v>0.4291299944</v>
      </c>
      <c r="V106" s="5">
        <v>0.0</v>
      </c>
      <c r="W106" s="7">
        <f t="shared" si="7"/>
        <v>22</v>
      </c>
    </row>
    <row r="107">
      <c r="A107" s="5" t="s">
        <v>177</v>
      </c>
      <c r="B107" s="5" t="s">
        <v>89</v>
      </c>
      <c r="C107" s="5">
        <v>6624.554199</v>
      </c>
      <c r="D107" s="5">
        <f t="shared" si="1"/>
        <v>7</v>
      </c>
      <c r="E107" s="5">
        <v>59.01200104</v>
      </c>
      <c r="F107" s="5">
        <f t="shared" si="2"/>
        <v>59</v>
      </c>
      <c r="G107" s="5">
        <f t="shared" si="3"/>
        <v>3909.281993</v>
      </c>
      <c r="H107" s="5">
        <f t="shared" si="4"/>
        <v>40.98799896</v>
      </c>
      <c r="I107" s="5">
        <f t="shared" si="5"/>
        <v>41</v>
      </c>
      <c r="J107" s="5">
        <v>81.7087538</v>
      </c>
      <c r="K107" s="5">
        <f t="shared" si="8"/>
        <v>81.7</v>
      </c>
      <c r="L107" s="5">
        <v>1.506645682</v>
      </c>
      <c r="M107" s="5">
        <v>13.53053114</v>
      </c>
      <c r="N107" s="5">
        <v>3.254069378</v>
      </c>
      <c r="O107" s="5">
        <v>59.10744663</v>
      </c>
      <c r="P107" s="5">
        <v>3.520974285</v>
      </c>
      <c r="Q107" s="5">
        <v>29.78017368</v>
      </c>
      <c r="R107" s="5">
        <v>7.5914054</v>
      </c>
      <c r="S107" s="5">
        <v>97.40695661</v>
      </c>
      <c r="T107" s="5">
        <v>0.1075523143</v>
      </c>
      <c r="U107" s="5">
        <v>2.244007656</v>
      </c>
      <c r="V107" s="5">
        <v>0.2414834229</v>
      </c>
      <c r="W107" s="7">
        <f t="shared" si="7"/>
        <v>22</v>
      </c>
    </row>
    <row r="108">
      <c r="A108" s="5" t="s">
        <v>178</v>
      </c>
      <c r="B108" s="5" t="s">
        <v>79</v>
      </c>
      <c r="C108" s="5">
        <v>6031.187012</v>
      </c>
      <c r="D108" s="5">
        <f t="shared" si="1"/>
        <v>7</v>
      </c>
      <c r="E108" s="5">
        <v>52.51600266</v>
      </c>
      <c r="F108" s="5">
        <f t="shared" si="2"/>
        <v>53</v>
      </c>
      <c r="G108" s="5">
        <f t="shared" si="3"/>
        <v>3167.338332</v>
      </c>
      <c r="H108" s="5">
        <f t="shared" si="4"/>
        <v>47.48399734</v>
      </c>
      <c r="I108" s="5">
        <f t="shared" si="5"/>
        <v>47</v>
      </c>
      <c r="J108" s="5">
        <v>100.0</v>
      </c>
      <c r="K108" s="5">
        <f t="shared" si="8"/>
        <v>100</v>
      </c>
      <c r="L108" s="5">
        <v>0.0</v>
      </c>
      <c r="M108" s="5">
        <v>0.0</v>
      </c>
      <c r="N108" s="5">
        <v>0.0</v>
      </c>
      <c r="O108" s="5">
        <v>100.0</v>
      </c>
      <c r="P108" s="5">
        <v>0.0</v>
      </c>
      <c r="Q108" s="5">
        <v>0.0</v>
      </c>
      <c r="R108" s="5">
        <v>0.0</v>
      </c>
      <c r="S108" s="5">
        <v>100.0</v>
      </c>
      <c r="T108" s="5">
        <v>0.0</v>
      </c>
      <c r="U108" s="5">
        <v>0.0</v>
      </c>
      <c r="V108" s="5">
        <v>0.0</v>
      </c>
      <c r="W108" s="7">
        <f t="shared" si="7"/>
        <v>22</v>
      </c>
    </row>
    <row r="109">
      <c r="A109" s="5" t="s">
        <v>179</v>
      </c>
      <c r="B109" s="5" t="s">
        <v>25</v>
      </c>
      <c r="C109" s="5">
        <v>6524.190918</v>
      </c>
      <c r="D109" s="5">
        <f t="shared" si="1"/>
        <v>7</v>
      </c>
      <c r="E109" s="5">
        <v>36.85599899</v>
      </c>
      <c r="F109" s="5">
        <f t="shared" si="2"/>
        <v>37</v>
      </c>
      <c r="G109" s="5">
        <f t="shared" si="3"/>
        <v>2404.555739</v>
      </c>
      <c r="H109" s="5">
        <f t="shared" si="4"/>
        <v>63.14400101</v>
      </c>
      <c r="I109" s="5">
        <f t="shared" si="5"/>
        <v>63</v>
      </c>
      <c r="J109" s="5">
        <v>91.69930522</v>
      </c>
      <c r="K109" s="5">
        <f t="shared" si="8"/>
        <v>91.7</v>
      </c>
      <c r="L109" s="5">
        <v>1.900734111</v>
      </c>
      <c r="M109" s="5">
        <v>1.8656487</v>
      </c>
      <c r="N109" s="5">
        <v>4.534311965</v>
      </c>
      <c r="O109" s="5">
        <v>87.258429</v>
      </c>
      <c r="P109" s="5">
        <v>2.606070485</v>
      </c>
      <c r="Q109" s="5">
        <v>2.954593684</v>
      </c>
      <c r="R109" s="5">
        <v>7.180906832</v>
      </c>
      <c r="S109" s="5">
        <v>99.30769231</v>
      </c>
      <c r="T109" s="5">
        <v>0.6923076923</v>
      </c>
      <c r="U109" s="5">
        <v>0.0</v>
      </c>
      <c r="V109" s="5">
        <v>0.0</v>
      </c>
      <c r="W109" s="7">
        <f t="shared" si="7"/>
        <v>22</v>
      </c>
    </row>
    <row r="110">
      <c r="A110" s="5" t="s">
        <v>180</v>
      </c>
      <c r="B110" s="5" t="s">
        <v>43</v>
      </c>
      <c r="C110" s="5">
        <v>7496.987793</v>
      </c>
      <c r="D110" s="5">
        <f t="shared" si="1"/>
        <v>8</v>
      </c>
      <c r="E110" s="5">
        <v>100.0</v>
      </c>
      <c r="F110" s="5">
        <f t="shared" si="2"/>
        <v>100</v>
      </c>
      <c r="G110" s="5">
        <f t="shared" si="3"/>
        <v>7496.987793</v>
      </c>
      <c r="H110" s="5">
        <f t="shared" si="4"/>
        <v>0</v>
      </c>
      <c r="I110" s="5">
        <f t="shared" si="5"/>
        <v>0</v>
      </c>
      <c r="J110" s="5">
        <v>100.0</v>
      </c>
      <c r="K110" s="5">
        <f t="shared" si="8"/>
        <v>100</v>
      </c>
      <c r="L110" s="5">
        <v>0.0</v>
      </c>
      <c r="M110" s="5">
        <v>0.0</v>
      </c>
      <c r="O110" s="5" t="s">
        <v>25</v>
      </c>
      <c r="P110" s="5" t="s">
        <v>25</v>
      </c>
      <c r="Q110" s="5" t="s">
        <v>25</v>
      </c>
      <c r="R110" s="5" t="s">
        <v>25</v>
      </c>
      <c r="S110" s="5">
        <v>100.0</v>
      </c>
      <c r="T110" s="5">
        <v>0.0</v>
      </c>
      <c r="U110" s="5">
        <v>0.0</v>
      </c>
      <c r="V110" s="5">
        <v>0.0</v>
      </c>
      <c r="W110" s="7">
        <f t="shared" si="7"/>
        <v>21</v>
      </c>
    </row>
    <row r="111">
      <c r="A111" s="5" t="s">
        <v>181</v>
      </c>
      <c r="B111" s="5" t="s">
        <v>79</v>
      </c>
      <c r="C111" s="5">
        <v>7132.529785</v>
      </c>
      <c r="D111" s="5">
        <f t="shared" si="1"/>
        <v>8</v>
      </c>
      <c r="E111" s="5">
        <v>62.18299484</v>
      </c>
      <c r="F111" s="5">
        <f t="shared" si="2"/>
        <v>62</v>
      </c>
      <c r="G111" s="5">
        <f t="shared" si="3"/>
        <v>4435.220628</v>
      </c>
      <c r="H111" s="5">
        <f t="shared" si="4"/>
        <v>37.81700516</v>
      </c>
      <c r="I111" s="5">
        <f t="shared" si="5"/>
        <v>38</v>
      </c>
      <c r="J111" s="5">
        <v>99.59346633</v>
      </c>
      <c r="K111" s="5">
        <f t="shared" si="8"/>
        <v>99.6</v>
      </c>
      <c r="L111" s="5">
        <v>0.4065302439</v>
      </c>
      <c r="M111" s="5">
        <v>3.4229177E-6</v>
      </c>
      <c r="N111" s="5">
        <v>0.5845310938</v>
      </c>
      <c r="O111" s="5">
        <v>99.11122753</v>
      </c>
      <c r="P111" s="5">
        <v>0.8887724684</v>
      </c>
      <c r="Q111" s="5">
        <v>0.0</v>
      </c>
      <c r="R111" s="5">
        <v>0.0</v>
      </c>
      <c r="S111" s="5">
        <v>99.88674854</v>
      </c>
      <c r="T111" s="5">
        <v>0.1132514643</v>
      </c>
      <c r="U111" s="5">
        <v>0.0</v>
      </c>
      <c r="V111" s="5">
        <v>0.0</v>
      </c>
      <c r="W111" s="7">
        <f t="shared" si="7"/>
        <v>22</v>
      </c>
    </row>
    <row r="112">
      <c r="A112" s="5" t="s">
        <v>182</v>
      </c>
      <c r="B112" s="5" t="s">
        <v>126</v>
      </c>
      <c r="C112" s="5">
        <v>7976.984863</v>
      </c>
      <c r="D112" s="5">
        <f t="shared" si="1"/>
        <v>8</v>
      </c>
      <c r="E112" s="5">
        <v>42.92300034</v>
      </c>
      <c r="F112" s="5">
        <f t="shared" si="2"/>
        <v>43</v>
      </c>
      <c r="G112" s="5">
        <f t="shared" si="3"/>
        <v>3423.96124</v>
      </c>
      <c r="H112" s="5">
        <f t="shared" si="4"/>
        <v>57.07699966</v>
      </c>
      <c r="I112" s="5">
        <f t="shared" si="5"/>
        <v>57</v>
      </c>
      <c r="J112" s="5">
        <v>63.76628562</v>
      </c>
      <c r="K112" s="5">
        <f t="shared" si="8"/>
        <v>63.8</v>
      </c>
      <c r="L112" s="5">
        <v>9.023316357</v>
      </c>
      <c r="M112" s="5">
        <v>15.5639457</v>
      </c>
      <c r="N112" s="5">
        <v>11.64645233</v>
      </c>
      <c r="O112" s="5">
        <v>5.221136889</v>
      </c>
      <c r="P112" s="5">
        <v>23.14294909</v>
      </c>
      <c r="Q112" s="5">
        <v>18.88321135</v>
      </c>
      <c r="R112" s="5">
        <v>78.41163766</v>
      </c>
      <c r="S112" s="5">
        <v>14.07927743</v>
      </c>
      <c r="T112" s="5">
        <v>5.485735437</v>
      </c>
      <c r="U112" s="5">
        <v>2.023349475</v>
      </c>
      <c r="V112" s="5" t="s">
        <v>25</v>
      </c>
      <c r="W112" s="7">
        <f t="shared" si="7"/>
        <v>22</v>
      </c>
    </row>
    <row r="113">
      <c r="A113" s="5" t="s">
        <v>183</v>
      </c>
      <c r="B113" s="5" t="s">
        <v>89</v>
      </c>
      <c r="C113" s="5">
        <v>7275.556152</v>
      </c>
      <c r="D113" s="5">
        <f t="shared" si="1"/>
        <v>8</v>
      </c>
      <c r="E113" s="5">
        <v>36.29000092</v>
      </c>
      <c r="F113" s="5">
        <f t="shared" si="2"/>
        <v>36</v>
      </c>
      <c r="G113" s="5">
        <f t="shared" si="3"/>
        <v>2640.299394</v>
      </c>
      <c r="H113" s="5">
        <f t="shared" si="4"/>
        <v>63.70999908</v>
      </c>
      <c r="I113" s="5">
        <f t="shared" si="5"/>
        <v>64</v>
      </c>
      <c r="J113" s="5">
        <v>85.21974318</v>
      </c>
      <c r="K113" s="5">
        <f t="shared" si="8"/>
        <v>85.2</v>
      </c>
      <c r="L113" s="5">
        <v>3.566857739</v>
      </c>
      <c r="M113" s="5">
        <v>10.62886799</v>
      </c>
      <c r="N113" s="5">
        <v>0.0</v>
      </c>
      <c r="O113" s="5">
        <v>78.47295942</v>
      </c>
      <c r="P113" s="5">
        <v>5.598583786</v>
      </c>
      <c r="Q113" s="5">
        <v>15.0109696</v>
      </c>
      <c r="R113" s="5">
        <v>0.9174871957</v>
      </c>
      <c r="S113" s="5">
        <v>97.06426222</v>
      </c>
      <c r="T113" s="5">
        <v>0.0</v>
      </c>
      <c r="U113" s="5">
        <v>2.935737778</v>
      </c>
      <c r="V113" s="5">
        <v>0.0</v>
      </c>
      <c r="W113" s="7">
        <f t="shared" si="7"/>
        <v>22</v>
      </c>
    </row>
    <row r="114">
      <c r="A114" s="5" t="s">
        <v>184</v>
      </c>
      <c r="B114" s="5" t="s">
        <v>43</v>
      </c>
      <c r="C114" s="5">
        <v>8655.541016</v>
      </c>
      <c r="D114" s="5">
        <f t="shared" si="1"/>
        <v>9</v>
      </c>
      <c r="E114" s="5">
        <v>92.58699799</v>
      </c>
      <c r="F114" s="5">
        <f t="shared" si="2"/>
        <v>93</v>
      </c>
      <c r="G114" s="5">
        <f t="shared" si="3"/>
        <v>8013.905587</v>
      </c>
      <c r="H114" s="5">
        <f t="shared" si="4"/>
        <v>7.41300201</v>
      </c>
      <c r="I114" s="5">
        <f t="shared" si="5"/>
        <v>7</v>
      </c>
      <c r="J114" s="5">
        <v>100.0</v>
      </c>
      <c r="K114" s="5">
        <f t="shared" si="8"/>
        <v>100</v>
      </c>
      <c r="L114" s="5">
        <v>0.0</v>
      </c>
      <c r="M114" s="5">
        <v>0.0</v>
      </c>
      <c r="N114" s="5">
        <v>0.0</v>
      </c>
      <c r="O114" s="5">
        <v>100.0</v>
      </c>
      <c r="P114" s="5">
        <v>0.0</v>
      </c>
      <c r="Q114" s="5">
        <v>0.0</v>
      </c>
      <c r="R114" s="5">
        <v>0.0</v>
      </c>
      <c r="S114" s="5">
        <v>100.0</v>
      </c>
      <c r="T114" s="5">
        <v>0.0</v>
      </c>
      <c r="U114" s="5">
        <v>0.0</v>
      </c>
      <c r="V114" s="5">
        <v>0.0</v>
      </c>
      <c r="W114" s="7">
        <f t="shared" si="7"/>
        <v>22</v>
      </c>
    </row>
    <row r="115">
      <c r="A115" s="5" t="s">
        <v>185</v>
      </c>
      <c r="B115" s="5" t="s">
        <v>43</v>
      </c>
      <c r="C115" s="5">
        <v>8654.618164</v>
      </c>
      <c r="D115" s="5">
        <f t="shared" si="1"/>
        <v>9</v>
      </c>
      <c r="E115" s="5">
        <v>73.91500092</v>
      </c>
      <c r="F115" s="5">
        <f t="shared" si="2"/>
        <v>74</v>
      </c>
      <c r="G115" s="5">
        <f t="shared" si="3"/>
        <v>6397.061096</v>
      </c>
      <c r="H115" s="5">
        <f t="shared" si="4"/>
        <v>26.08499908</v>
      </c>
      <c r="I115" s="5">
        <f t="shared" si="5"/>
        <v>26</v>
      </c>
      <c r="J115" s="5">
        <v>100.0000028</v>
      </c>
      <c r="K115" s="5">
        <f t="shared" si="8"/>
        <v>100</v>
      </c>
      <c r="L115" s="5">
        <v>0.0</v>
      </c>
      <c r="M115" s="5">
        <v>0.0</v>
      </c>
      <c r="N115" s="5">
        <v>0.0</v>
      </c>
      <c r="O115" s="5">
        <v>100.0</v>
      </c>
      <c r="P115" s="5">
        <v>0.0</v>
      </c>
      <c r="Q115" s="5">
        <v>0.0</v>
      </c>
      <c r="R115" s="5">
        <v>0.0</v>
      </c>
      <c r="S115" s="5">
        <v>100.0</v>
      </c>
      <c r="T115" s="5">
        <v>0.0</v>
      </c>
      <c r="U115" s="5">
        <v>0.0</v>
      </c>
      <c r="V115" s="5">
        <v>0.0</v>
      </c>
      <c r="W115" s="7">
        <f t="shared" si="7"/>
        <v>22</v>
      </c>
    </row>
    <row r="116">
      <c r="A116" s="5" t="s">
        <v>186</v>
      </c>
      <c r="B116" s="5" t="s">
        <v>79</v>
      </c>
      <c r="C116" s="5">
        <v>8737.370117</v>
      </c>
      <c r="D116" s="5">
        <f t="shared" si="1"/>
        <v>9</v>
      </c>
      <c r="E116" s="5">
        <v>56.44599915</v>
      </c>
      <c r="F116" s="5">
        <f t="shared" si="2"/>
        <v>56</v>
      </c>
      <c r="G116" s="5">
        <f t="shared" si="3"/>
        <v>4931.895862</v>
      </c>
      <c r="H116" s="5">
        <f t="shared" si="4"/>
        <v>43.55400085</v>
      </c>
      <c r="I116" s="5">
        <f t="shared" si="5"/>
        <v>44</v>
      </c>
      <c r="J116" s="5">
        <v>95.29552932</v>
      </c>
      <c r="K116" s="5">
        <f t="shared" si="8"/>
        <v>95.3</v>
      </c>
      <c r="L116" s="5">
        <v>4.244199279</v>
      </c>
      <c r="M116" s="5">
        <v>0.4437204778</v>
      </c>
      <c r="N116" s="5">
        <v>0.01655092647</v>
      </c>
      <c r="O116" s="5">
        <v>95.84497475</v>
      </c>
      <c r="P116" s="5">
        <v>3.545864028</v>
      </c>
      <c r="Q116" s="5">
        <v>0.5711602866</v>
      </c>
      <c r="R116" s="5">
        <v>0.03800093141</v>
      </c>
      <c r="S116" s="5">
        <v>94.87156989</v>
      </c>
      <c r="T116" s="5">
        <v>4.783037865</v>
      </c>
      <c r="U116" s="5">
        <v>0.3453922445</v>
      </c>
      <c r="V116" s="5">
        <v>0.0</v>
      </c>
      <c r="W116" s="7">
        <f t="shared" si="7"/>
        <v>22</v>
      </c>
    </row>
    <row r="117">
      <c r="A117" s="5" t="s">
        <v>187</v>
      </c>
      <c r="B117" s="5" t="s">
        <v>126</v>
      </c>
      <c r="C117" s="5">
        <v>8278.737305</v>
      </c>
      <c r="D117" s="5">
        <f t="shared" si="1"/>
        <v>9</v>
      </c>
      <c r="E117" s="5">
        <v>42.79999924</v>
      </c>
      <c r="F117" s="5">
        <f t="shared" si="2"/>
        <v>43</v>
      </c>
      <c r="G117" s="5">
        <f t="shared" si="3"/>
        <v>3543.299504</v>
      </c>
      <c r="H117" s="5">
        <f t="shared" si="4"/>
        <v>57.20000076</v>
      </c>
      <c r="I117" s="5">
        <f t="shared" si="5"/>
        <v>57</v>
      </c>
      <c r="J117" s="5">
        <v>68.58372009</v>
      </c>
      <c r="K117" s="5">
        <f t="shared" si="8"/>
        <v>68.6</v>
      </c>
      <c r="L117" s="5">
        <v>6.065434765</v>
      </c>
      <c r="M117" s="5">
        <v>14.16432245</v>
      </c>
      <c r="N117" s="5">
        <v>11.18652269</v>
      </c>
      <c r="O117" s="5">
        <v>52.11755275</v>
      </c>
      <c r="P117" s="5">
        <v>8.187542019</v>
      </c>
      <c r="Q117" s="5">
        <v>20.7910842</v>
      </c>
      <c r="R117" s="5">
        <v>18.90382103</v>
      </c>
      <c r="S117" s="5">
        <v>90.58991001</v>
      </c>
      <c r="T117" s="5">
        <v>3.229348056</v>
      </c>
      <c r="U117" s="5">
        <v>5.307990528</v>
      </c>
      <c r="V117" s="5">
        <v>0.8727514049</v>
      </c>
      <c r="W117" s="7">
        <f t="shared" si="7"/>
        <v>22</v>
      </c>
    </row>
    <row r="118">
      <c r="A118" s="5" t="s">
        <v>188</v>
      </c>
      <c r="B118" s="5" t="s">
        <v>89</v>
      </c>
      <c r="C118" s="5">
        <v>8947.027344</v>
      </c>
      <c r="D118" s="5">
        <f t="shared" si="1"/>
        <v>9</v>
      </c>
      <c r="E118" s="5">
        <v>13.34500027</v>
      </c>
      <c r="F118" s="5">
        <f t="shared" si="2"/>
        <v>13</v>
      </c>
      <c r="G118" s="5">
        <f t="shared" si="3"/>
        <v>1193.980823</v>
      </c>
      <c r="H118" s="5">
        <f t="shared" si="4"/>
        <v>86.65499973</v>
      </c>
      <c r="I118" s="5">
        <f t="shared" si="5"/>
        <v>87</v>
      </c>
      <c r="J118" s="5">
        <v>45.34401752</v>
      </c>
      <c r="K118" s="5">
        <f t="shared" si="8"/>
        <v>45.3</v>
      </c>
      <c r="L118" s="5">
        <v>2.128564452</v>
      </c>
      <c r="M118" s="5">
        <v>22.15762495</v>
      </c>
      <c r="N118" s="5">
        <v>30.36979308</v>
      </c>
      <c r="O118" s="5">
        <v>39.07134367</v>
      </c>
      <c r="P118" s="5">
        <v>2.429850293</v>
      </c>
      <c r="Q118" s="5">
        <v>24.43180086</v>
      </c>
      <c r="R118" s="5">
        <v>34.06700517</v>
      </c>
      <c r="S118" s="5">
        <v>86.07527164</v>
      </c>
      <c r="T118" s="5">
        <v>0.1721822608</v>
      </c>
      <c r="U118" s="5">
        <v>7.390385564</v>
      </c>
      <c r="V118" s="5">
        <v>6.362160532</v>
      </c>
      <c r="W118" s="7">
        <f t="shared" si="7"/>
        <v>22</v>
      </c>
    </row>
    <row r="119">
      <c r="A119" s="5" t="s">
        <v>189</v>
      </c>
      <c r="B119" s="5" t="s">
        <v>43</v>
      </c>
      <c r="C119" s="5">
        <v>9890.400391</v>
      </c>
      <c r="D119" s="5">
        <f t="shared" si="1"/>
        <v>10</v>
      </c>
      <c r="E119" s="5">
        <v>87.04799652</v>
      </c>
      <c r="F119" s="5">
        <f t="shared" si="2"/>
        <v>87</v>
      </c>
      <c r="G119" s="5">
        <f t="shared" si="3"/>
        <v>8609.395388</v>
      </c>
      <c r="H119" s="5">
        <f t="shared" si="4"/>
        <v>12.95200348</v>
      </c>
      <c r="I119" s="5">
        <f t="shared" si="5"/>
        <v>13</v>
      </c>
      <c r="J119" s="5">
        <v>99.965596</v>
      </c>
      <c r="K119" s="5">
        <f t="shared" si="8"/>
        <v>100</v>
      </c>
      <c r="L119" s="5">
        <v>0.0</v>
      </c>
      <c r="M119" s="5">
        <v>0.034404</v>
      </c>
      <c r="N119" s="5">
        <v>0.0</v>
      </c>
      <c r="O119" s="5" t="s">
        <v>25</v>
      </c>
      <c r="P119" s="5" t="s">
        <v>25</v>
      </c>
      <c r="Q119" s="5" t="s">
        <v>25</v>
      </c>
      <c r="R119" s="5" t="s">
        <v>25</v>
      </c>
      <c r="S119" s="5" t="s">
        <v>25</v>
      </c>
      <c r="T119" s="5" t="s">
        <v>25</v>
      </c>
      <c r="U119" s="5" t="s">
        <v>25</v>
      </c>
      <c r="V119" s="5" t="s">
        <v>25</v>
      </c>
      <c r="W119" s="7">
        <f t="shared" si="7"/>
        <v>22</v>
      </c>
    </row>
    <row r="120">
      <c r="A120" s="5" t="s">
        <v>190</v>
      </c>
      <c r="B120" s="5" t="s">
        <v>79</v>
      </c>
      <c r="C120" s="5">
        <v>9449.321289</v>
      </c>
      <c r="D120" s="5">
        <f t="shared" si="1"/>
        <v>10</v>
      </c>
      <c r="E120" s="5">
        <v>79.48300171</v>
      </c>
      <c r="F120" s="5">
        <f t="shared" si="2"/>
        <v>79</v>
      </c>
      <c r="G120" s="5">
        <f t="shared" si="3"/>
        <v>7510.604202</v>
      </c>
      <c r="H120" s="5">
        <f t="shared" si="4"/>
        <v>20.51699829</v>
      </c>
      <c r="I120" s="5">
        <f t="shared" si="5"/>
        <v>21</v>
      </c>
      <c r="J120" s="5">
        <v>96.53472608</v>
      </c>
      <c r="K120" s="5">
        <f t="shared" si="8"/>
        <v>96.5</v>
      </c>
      <c r="L120" s="5">
        <v>3.37211955</v>
      </c>
      <c r="M120" s="5">
        <v>0.09315436837</v>
      </c>
      <c r="N120" s="5">
        <v>0.0</v>
      </c>
      <c r="O120" s="5">
        <v>98.56412231</v>
      </c>
      <c r="P120" s="5">
        <v>0.9955971951</v>
      </c>
      <c r="Q120" s="5">
        <v>0.4402804931</v>
      </c>
      <c r="R120" s="5">
        <v>0.0</v>
      </c>
      <c r="S120" s="5">
        <v>96.01087362</v>
      </c>
      <c r="T120" s="5">
        <v>3.985572644</v>
      </c>
      <c r="U120" s="5">
        <v>0.003553731977</v>
      </c>
      <c r="V120" s="5">
        <v>0.0</v>
      </c>
      <c r="W120" s="7">
        <f t="shared" si="7"/>
        <v>22</v>
      </c>
    </row>
    <row r="121">
      <c r="A121" s="5" t="s">
        <v>191</v>
      </c>
      <c r="B121" s="5" t="s">
        <v>43</v>
      </c>
      <c r="C121" s="5">
        <v>9660.349609</v>
      </c>
      <c r="D121" s="5">
        <f t="shared" si="1"/>
        <v>10</v>
      </c>
      <c r="E121" s="5">
        <v>71.94200134</v>
      </c>
      <c r="F121" s="5">
        <f t="shared" si="2"/>
        <v>72</v>
      </c>
      <c r="G121" s="5">
        <f t="shared" si="3"/>
        <v>6949.848845</v>
      </c>
      <c r="H121" s="5">
        <f t="shared" si="4"/>
        <v>28.05799866</v>
      </c>
      <c r="I121" s="5">
        <f t="shared" si="5"/>
        <v>28</v>
      </c>
      <c r="J121" s="5">
        <v>99.99999747</v>
      </c>
      <c r="K121" s="5">
        <f t="shared" si="8"/>
        <v>100</v>
      </c>
      <c r="L121" s="5">
        <v>0.0</v>
      </c>
      <c r="M121" s="5">
        <v>2.527244192E-6</v>
      </c>
      <c r="N121" s="5">
        <v>0.0</v>
      </c>
      <c r="O121" s="5">
        <v>100.0</v>
      </c>
      <c r="P121" s="5">
        <v>0.0</v>
      </c>
      <c r="Q121" s="5">
        <v>0.0</v>
      </c>
      <c r="R121" s="5">
        <v>0.0</v>
      </c>
      <c r="S121" s="5">
        <v>100.0</v>
      </c>
      <c r="T121" s="5">
        <v>0.0</v>
      </c>
      <c r="U121" s="5">
        <v>0.0</v>
      </c>
      <c r="V121" s="5">
        <v>0.0</v>
      </c>
      <c r="W121" s="7">
        <f t="shared" si="7"/>
        <v>22</v>
      </c>
    </row>
    <row r="122">
      <c r="A122" s="5" t="s">
        <v>192</v>
      </c>
      <c r="B122" s="5" t="s">
        <v>43</v>
      </c>
      <c r="C122" s="5">
        <v>9006.400391</v>
      </c>
      <c r="D122" s="5">
        <f t="shared" si="1"/>
        <v>10</v>
      </c>
      <c r="E122" s="5">
        <v>58.7480011</v>
      </c>
      <c r="F122" s="5">
        <f t="shared" si="2"/>
        <v>59</v>
      </c>
      <c r="G122" s="5">
        <f t="shared" si="3"/>
        <v>5291.080201</v>
      </c>
      <c r="H122" s="5">
        <f t="shared" si="4"/>
        <v>41.2519989</v>
      </c>
      <c r="I122" s="5">
        <f t="shared" si="5"/>
        <v>41</v>
      </c>
      <c r="J122" s="5">
        <v>100.0</v>
      </c>
      <c r="K122" s="5">
        <f t="shared" si="8"/>
        <v>100</v>
      </c>
      <c r="L122" s="5">
        <v>0.0</v>
      </c>
      <c r="M122" s="5">
        <v>0.0</v>
      </c>
      <c r="N122" s="5">
        <v>0.0</v>
      </c>
      <c r="O122" s="5">
        <v>100.0</v>
      </c>
      <c r="P122" s="5">
        <v>0.0</v>
      </c>
      <c r="Q122" s="5">
        <v>0.0</v>
      </c>
      <c r="R122" s="5">
        <v>0.0</v>
      </c>
      <c r="S122" s="5">
        <v>100.0</v>
      </c>
      <c r="T122" s="5">
        <v>0.0</v>
      </c>
      <c r="U122" s="5">
        <v>0.0</v>
      </c>
      <c r="V122" s="5">
        <v>0.0</v>
      </c>
      <c r="W122" s="7">
        <f t="shared" si="7"/>
        <v>22</v>
      </c>
    </row>
    <row r="123">
      <c r="A123" s="5" t="s">
        <v>193</v>
      </c>
      <c r="B123" s="5" t="s">
        <v>89</v>
      </c>
      <c r="C123" s="5">
        <v>9904.608398</v>
      </c>
      <c r="D123" s="5">
        <f t="shared" si="1"/>
        <v>10</v>
      </c>
      <c r="E123" s="5">
        <v>58.35899734</v>
      </c>
      <c r="F123" s="5">
        <f t="shared" si="2"/>
        <v>58</v>
      </c>
      <c r="G123" s="5">
        <f t="shared" si="3"/>
        <v>5780.230152</v>
      </c>
      <c r="H123" s="5">
        <f t="shared" si="4"/>
        <v>41.64100266</v>
      </c>
      <c r="I123" s="5">
        <f t="shared" si="5"/>
        <v>42</v>
      </c>
      <c r="J123" s="5">
        <v>95.68922113</v>
      </c>
      <c r="K123" s="5">
        <f t="shared" si="8"/>
        <v>95.7</v>
      </c>
      <c r="L123" s="5">
        <v>0.4256206085</v>
      </c>
      <c r="M123" s="5">
        <v>3.885158264</v>
      </c>
      <c r="N123" s="5">
        <v>0.0</v>
      </c>
      <c r="O123" s="5">
        <v>89.87579955</v>
      </c>
      <c r="P123" s="5">
        <v>0.8067095079</v>
      </c>
      <c r="Q123" s="5">
        <v>9.317490946</v>
      </c>
      <c r="R123" s="5">
        <v>0.0</v>
      </c>
      <c r="S123" s="5">
        <v>99.83728281</v>
      </c>
      <c r="T123" s="5">
        <v>0.1537015262</v>
      </c>
      <c r="U123" s="5">
        <v>0.009015663296</v>
      </c>
      <c r="V123" s="5">
        <v>0.0</v>
      </c>
      <c r="W123" s="7">
        <f t="shared" si="7"/>
        <v>22</v>
      </c>
    </row>
    <row r="124">
      <c r="A124" s="5" t="s">
        <v>194</v>
      </c>
      <c r="B124" s="5" t="s">
        <v>89</v>
      </c>
      <c r="C124" s="5">
        <v>9537.641602</v>
      </c>
      <c r="D124" s="5">
        <f t="shared" si="1"/>
        <v>10</v>
      </c>
      <c r="E124" s="5">
        <v>27.50599861</v>
      </c>
      <c r="F124" s="5">
        <f t="shared" si="2"/>
        <v>28</v>
      </c>
      <c r="G124" s="5">
        <f t="shared" si="3"/>
        <v>2623.423566</v>
      </c>
      <c r="H124" s="5">
        <f t="shared" si="4"/>
        <v>72.49400139</v>
      </c>
      <c r="I124" s="5">
        <f t="shared" si="5"/>
        <v>72</v>
      </c>
      <c r="J124" s="5">
        <v>81.85241502</v>
      </c>
      <c r="K124" s="5">
        <f t="shared" si="8"/>
        <v>81.9</v>
      </c>
      <c r="L124" s="5">
        <v>2.568363935</v>
      </c>
      <c r="M124" s="5">
        <v>3.421857005</v>
      </c>
      <c r="N124" s="5">
        <v>12.15736404</v>
      </c>
      <c r="O124" s="5">
        <v>76.6435992</v>
      </c>
      <c r="P124" s="5">
        <v>3.207143928</v>
      </c>
      <c r="Q124" s="5">
        <v>4.140706948</v>
      </c>
      <c r="R124" s="5">
        <v>16.00854992</v>
      </c>
      <c r="S124" s="5">
        <v>95.58062386</v>
      </c>
      <c r="T124" s="5">
        <v>0.8848144763</v>
      </c>
      <c r="U124" s="5">
        <v>1.527268323</v>
      </c>
      <c r="V124" s="5">
        <v>2.007293339</v>
      </c>
      <c r="W124" s="7">
        <f t="shared" si="7"/>
        <v>22</v>
      </c>
    </row>
    <row r="125">
      <c r="A125" s="5" t="s">
        <v>195</v>
      </c>
      <c r="B125" s="5" t="s">
        <v>79</v>
      </c>
      <c r="C125" s="5">
        <v>10203.13965</v>
      </c>
      <c r="D125" s="5">
        <f t="shared" si="1"/>
        <v>11</v>
      </c>
      <c r="E125" s="5">
        <v>91.41799927</v>
      </c>
      <c r="F125" s="5">
        <f t="shared" si="2"/>
        <v>91</v>
      </c>
      <c r="G125" s="5">
        <f t="shared" si="3"/>
        <v>9327.506131</v>
      </c>
      <c r="H125" s="5">
        <f t="shared" si="4"/>
        <v>8.58200073</v>
      </c>
      <c r="I125" s="5">
        <f t="shared" si="5"/>
        <v>9</v>
      </c>
      <c r="J125" s="5">
        <v>98.94030296</v>
      </c>
      <c r="K125" s="5">
        <f t="shared" si="8"/>
        <v>98.9</v>
      </c>
      <c r="L125" s="5">
        <v>0.1462147369</v>
      </c>
      <c r="M125" s="5">
        <v>0.8536474704</v>
      </c>
      <c r="N125" s="5">
        <v>0.05983483179</v>
      </c>
      <c r="O125" s="5">
        <v>97.31147869</v>
      </c>
      <c r="P125" s="5">
        <v>0.6239465945</v>
      </c>
      <c r="Q125" s="5">
        <v>2.024714716</v>
      </c>
      <c r="R125" s="5">
        <v>0.03986</v>
      </c>
      <c r="S125" s="5">
        <v>99.09321259</v>
      </c>
      <c r="T125" s="5">
        <v>0.1013669408</v>
      </c>
      <c r="U125" s="5">
        <v>0.7437104707</v>
      </c>
      <c r="V125" s="5">
        <v>0.06171</v>
      </c>
      <c r="W125" s="7">
        <f t="shared" si="7"/>
        <v>22</v>
      </c>
    </row>
    <row r="126">
      <c r="A126" s="5" t="s">
        <v>196</v>
      </c>
      <c r="B126" s="5" t="s">
        <v>43</v>
      </c>
      <c r="C126" s="5">
        <v>10099.26953</v>
      </c>
      <c r="D126" s="5">
        <f t="shared" si="1"/>
        <v>11</v>
      </c>
      <c r="E126" s="5">
        <v>87.97699738</v>
      </c>
      <c r="F126" s="5">
        <f t="shared" si="2"/>
        <v>88</v>
      </c>
      <c r="G126" s="5">
        <f t="shared" si="3"/>
        <v>8885.03409</v>
      </c>
      <c r="H126" s="5">
        <f t="shared" si="4"/>
        <v>12.02300262</v>
      </c>
      <c r="I126" s="5">
        <f t="shared" si="5"/>
        <v>12</v>
      </c>
      <c r="J126" s="5">
        <v>99.82686763</v>
      </c>
      <c r="K126" s="5">
        <f t="shared" si="8"/>
        <v>99.8</v>
      </c>
      <c r="L126" s="5">
        <v>0.0</v>
      </c>
      <c r="M126" s="5">
        <v>0.1731323735</v>
      </c>
      <c r="N126" s="5">
        <v>0.0</v>
      </c>
      <c r="O126" s="5">
        <v>99.71937474</v>
      </c>
      <c r="P126" s="5">
        <v>0.0</v>
      </c>
      <c r="Q126" s="5">
        <v>0.2806252626</v>
      </c>
      <c r="R126" s="5">
        <v>0.0</v>
      </c>
      <c r="S126" s="5">
        <v>99.84155768</v>
      </c>
      <c r="T126" s="5">
        <v>0.0</v>
      </c>
      <c r="U126" s="5">
        <v>0.1584423157</v>
      </c>
      <c r="V126" s="5">
        <v>0.0</v>
      </c>
      <c r="W126" s="7">
        <f t="shared" si="7"/>
        <v>22</v>
      </c>
    </row>
    <row r="127">
      <c r="A127" s="5" t="s">
        <v>197</v>
      </c>
      <c r="B127" s="5" t="s">
        <v>79</v>
      </c>
      <c r="C127" s="5">
        <v>10847.9043</v>
      </c>
      <c r="D127" s="5">
        <f t="shared" si="1"/>
        <v>11</v>
      </c>
      <c r="E127" s="5">
        <v>82.54000092</v>
      </c>
      <c r="F127" s="5">
        <f t="shared" si="2"/>
        <v>83</v>
      </c>
      <c r="G127" s="5">
        <f t="shared" si="3"/>
        <v>8953.860309</v>
      </c>
      <c r="H127" s="5">
        <f t="shared" si="4"/>
        <v>17.45999908</v>
      </c>
      <c r="I127" s="5">
        <f t="shared" si="5"/>
        <v>17</v>
      </c>
      <c r="J127" s="5">
        <v>96.68681192</v>
      </c>
      <c r="K127" s="5">
        <f t="shared" si="8"/>
        <v>96.7</v>
      </c>
      <c r="L127" s="5">
        <v>0.4670386504</v>
      </c>
      <c r="M127" s="5">
        <v>1.269428783</v>
      </c>
      <c r="N127" s="5">
        <v>1.576720644</v>
      </c>
      <c r="O127" s="5">
        <v>90.30446437</v>
      </c>
      <c r="P127" s="5">
        <v>1.385315508</v>
      </c>
      <c r="Q127" s="5">
        <v>1.115118127</v>
      </c>
      <c r="R127" s="5">
        <v>7.195101991</v>
      </c>
      <c r="S127" s="5">
        <v>98.03689158</v>
      </c>
      <c r="T127" s="5">
        <v>0.2727920359</v>
      </c>
      <c r="U127" s="5">
        <v>1.302073396</v>
      </c>
      <c r="V127" s="5">
        <v>0.3882429922</v>
      </c>
      <c r="W127" s="7">
        <f t="shared" si="7"/>
        <v>22</v>
      </c>
    </row>
    <row r="128">
      <c r="A128" s="5" t="s">
        <v>198</v>
      </c>
      <c r="B128" s="5" t="s">
        <v>43</v>
      </c>
      <c r="C128" s="5">
        <v>10423.05566</v>
      </c>
      <c r="D128" s="5">
        <f t="shared" si="1"/>
        <v>11</v>
      </c>
      <c r="E128" s="5">
        <v>79.71500397</v>
      </c>
      <c r="F128" s="5">
        <f t="shared" si="2"/>
        <v>80</v>
      </c>
      <c r="G128" s="5">
        <f t="shared" si="3"/>
        <v>8308.739233</v>
      </c>
      <c r="H128" s="5">
        <f t="shared" si="4"/>
        <v>20.28499603</v>
      </c>
      <c r="I128" s="5">
        <f t="shared" si="5"/>
        <v>20</v>
      </c>
      <c r="J128" s="5">
        <v>100.0000023</v>
      </c>
      <c r="K128" s="5">
        <f t="shared" si="8"/>
        <v>100</v>
      </c>
      <c r="L128" s="5">
        <v>0.0</v>
      </c>
      <c r="M128" s="5">
        <v>0.0</v>
      </c>
      <c r="N128" s="5">
        <v>0.0</v>
      </c>
      <c r="O128" s="5">
        <v>100.0</v>
      </c>
      <c r="P128" s="5">
        <v>0.0</v>
      </c>
      <c r="Q128" s="5">
        <v>0.0</v>
      </c>
      <c r="R128" s="5">
        <v>0.0</v>
      </c>
      <c r="S128" s="5">
        <v>100.0</v>
      </c>
      <c r="T128" s="5">
        <v>0.0</v>
      </c>
      <c r="U128" s="5">
        <v>0.0</v>
      </c>
      <c r="V128" s="5">
        <v>0.0</v>
      </c>
      <c r="W128" s="7">
        <f t="shared" si="7"/>
        <v>22</v>
      </c>
    </row>
    <row r="129">
      <c r="A129" s="5" t="s">
        <v>199</v>
      </c>
      <c r="B129" s="5" t="s">
        <v>43</v>
      </c>
      <c r="C129" s="5">
        <v>10708.98242</v>
      </c>
      <c r="D129" s="5">
        <f t="shared" si="1"/>
        <v>11</v>
      </c>
      <c r="E129" s="5">
        <v>74.06100464</v>
      </c>
      <c r="F129" s="5">
        <f t="shared" si="2"/>
        <v>74</v>
      </c>
      <c r="G129" s="5">
        <f t="shared" si="3"/>
        <v>7931.179967</v>
      </c>
      <c r="H129" s="5">
        <f t="shared" si="4"/>
        <v>25.93899536</v>
      </c>
      <c r="I129" s="5">
        <f t="shared" si="5"/>
        <v>26</v>
      </c>
      <c r="J129" s="5">
        <v>99.88059167</v>
      </c>
      <c r="K129" s="5">
        <f t="shared" si="8"/>
        <v>99.9</v>
      </c>
      <c r="L129" s="5">
        <v>0.0</v>
      </c>
      <c r="M129" s="5">
        <v>0.1194083325</v>
      </c>
      <c r="N129" s="5">
        <v>0.0</v>
      </c>
      <c r="O129" s="5">
        <v>99.8175993</v>
      </c>
      <c r="P129" s="5">
        <v>0.0</v>
      </c>
      <c r="Q129" s="5">
        <v>0.1824006965</v>
      </c>
      <c r="R129" s="5">
        <v>0.0</v>
      </c>
      <c r="S129" s="5">
        <v>99.90265093</v>
      </c>
      <c r="T129" s="5">
        <v>0.0</v>
      </c>
      <c r="U129" s="5">
        <v>0.0973490679</v>
      </c>
      <c r="V129" s="5">
        <v>0.0</v>
      </c>
      <c r="W129" s="7">
        <f t="shared" si="7"/>
        <v>22</v>
      </c>
    </row>
    <row r="130">
      <c r="A130" s="5" t="s">
        <v>200</v>
      </c>
      <c r="B130" s="5" t="s">
        <v>43</v>
      </c>
      <c r="C130" s="5">
        <v>10196.70703</v>
      </c>
      <c r="D130" s="5">
        <f t="shared" si="1"/>
        <v>11</v>
      </c>
      <c r="E130" s="5">
        <v>66.30999756</v>
      </c>
      <c r="F130" s="5">
        <f t="shared" si="2"/>
        <v>66</v>
      </c>
      <c r="G130" s="5">
        <f t="shared" si="3"/>
        <v>6761.436183</v>
      </c>
      <c r="H130" s="5">
        <f t="shared" si="4"/>
        <v>33.69000244</v>
      </c>
      <c r="I130" s="5">
        <f t="shared" si="5"/>
        <v>34</v>
      </c>
      <c r="J130" s="5">
        <v>99.91199367</v>
      </c>
      <c r="K130" s="5">
        <f t="shared" si="8"/>
        <v>99.9</v>
      </c>
      <c r="L130" s="5">
        <v>0.0</v>
      </c>
      <c r="M130" s="5">
        <v>0.08800633369</v>
      </c>
      <c r="N130" s="5">
        <v>0.0</v>
      </c>
      <c r="O130" s="5">
        <v>99.73877609</v>
      </c>
      <c r="P130" s="5">
        <v>0.0</v>
      </c>
      <c r="Q130" s="5">
        <v>0.2612239122</v>
      </c>
      <c r="R130" s="5">
        <v>0.0</v>
      </c>
      <c r="S130" s="5">
        <v>100.0</v>
      </c>
      <c r="T130" s="5">
        <v>0.0</v>
      </c>
      <c r="U130" s="5">
        <v>0.0</v>
      </c>
      <c r="V130" s="5">
        <v>0.0</v>
      </c>
      <c r="W130" s="7">
        <f t="shared" si="7"/>
        <v>22</v>
      </c>
    </row>
    <row r="131">
      <c r="A131" s="5" t="s">
        <v>201</v>
      </c>
      <c r="B131" s="5" t="s">
        <v>79</v>
      </c>
      <c r="C131" s="5">
        <v>10139.1748</v>
      </c>
      <c r="D131" s="5">
        <f t="shared" si="1"/>
        <v>11</v>
      </c>
      <c r="E131" s="5">
        <v>56.39700317</v>
      </c>
      <c r="F131" s="5">
        <f t="shared" si="2"/>
        <v>56</v>
      </c>
      <c r="G131" s="5">
        <f t="shared" si="3"/>
        <v>5718.190733</v>
      </c>
      <c r="H131" s="5">
        <f t="shared" si="4"/>
        <v>43.60299683</v>
      </c>
      <c r="I131" s="5">
        <f t="shared" si="5"/>
        <v>44</v>
      </c>
      <c r="J131" s="5">
        <v>96.04337613</v>
      </c>
      <c r="K131" s="5">
        <f t="shared" si="8"/>
        <v>96</v>
      </c>
      <c r="L131" s="5">
        <v>1.04278118</v>
      </c>
      <c r="M131" s="5">
        <v>2.913842688</v>
      </c>
      <c r="N131" s="5">
        <v>0.0</v>
      </c>
      <c r="O131" s="5">
        <v>90.92579795</v>
      </c>
      <c r="P131" s="5">
        <v>2.391535671</v>
      </c>
      <c r="Q131" s="5">
        <v>6.682666377</v>
      </c>
      <c r="R131" s="5">
        <v>0.0</v>
      </c>
      <c r="S131" s="5">
        <v>100.0</v>
      </c>
      <c r="T131" s="5">
        <v>0.0</v>
      </c>
      <c r="U131" s="5">
        <v>0.0</v>
      </c>
      <c r="V131" s="5">
        <v>0.0</v>
      </c>
      <c r="W131" s="7">
        <f t="shared" si="7"/>
        <v>22</v>
      </c>
    </row>
    <row r="132">
      <c r="A132" s="5" t="s">
        <v>202</v>
      </c>
      <c r="B132" s="5" t="s">
        <v>43</v>
      </c>
      <c r="C132" s="5">
        <v>11589.61621</v>
      </c>
      <c r="D132" s="5">
        <f t="shared" si="1"/>
        <v>12</v>
      </c>
      <c r="E132" s="5">
        <v>98.07899475</v>
      </c>
      <c r="F132" s="5">
        <f t="shared" si="2"/>
        <v>98</v>
      </c>
      <c r="G132" s="5">
        <f t="shared" si="3"/>
        <v>11366.97907</v>
      </c>
      <c r="H132" s="5">
        <f t="shared" si="4"/>
        <v>1.92100525</v>
      </c>
      <c r="I132" s="5">
        <f t="shared" si="5"/>
        <v>2</v>
      </c>
      <c r="J132" s="5">
        <v>99.99999645</v>
      </c>
      <c r="K132" s="5">
        <f t="shared" si="8"/>
        <v>100</v>
      </c>
      <c r="L132" s="5">
        <v>0.0</v>
      </c>
      <c r="M132" s="5">
        <v>3.554796791E-6</v>
      </c>
      <c r="N132" s="5">
        <v>0.0</v>
      </c>
      <c r="O132" s="5">
        <v>100.0</v>
      </c>
      <c r="P132" s="5">
        <v>0.0</v>
      </c>
      <c r="Q132" s="5">
        <v>0.0</v>
      </c>
      <c r="R132" s="5">
        <v>0.0</v>
      </c>
      <c r="S132" s="5">
        <v>100.0</v>
      </c>
      <c r="T132" s="5">
        <v>0.0</v>
      </c>
      <c r="U132" s="5">
        <v>0.0</v>
      </c>
      <c r="V132" s="5">
        <v>0.0</v>
      </c>
      <c r="W132" s="7">
        <f t="shared" si="7"/>
        <v>22</v>
      </c>
    </row>
    <row r="133">
      <c r="A133" s="5" t="s">
        <v>203</v>
      </c>
      <c r="B133" s="5" t="s">
        <v>79</v>
      </c>
      <c r="C133" s="5">
        <v>11326.61621</v>
      </c>
      <c r="D133" s="5">
        <f t="shared" si="1"/>
        <v>12</v>
      </c>
      <c r="E133" s="5">
        <v>77.19400024</v>
      </c>
      <c r="F133" s="5">
        <f t="shared" si="2"/>
        <v>77</v>
      </c>
      <c r="G133" s="5">
        <f t="shared" si="3"/>
        <v>8743.468144</v>
      </c>
      <c r="H133" s="5">
        <f t="shared" si="4"/>
        <v>22.80599976</v>
      </c>
      <c r="I133" s="5">
        <f t="shared" si="5"/>
        <v>23</v>
      </c>
      <c r="J133" s="5">
        <v>97.00269616</v>
      </c>
      <c r="K133" s="5">
        <f t="shared" si="8"/>
        <v>97</v>
      </c>
      <c r="L133" s="5">
        <v>1.471384542</v>
      </c>
      <c r="M133" s="5">
        <v>1.252811506</v>
      </c>
      <c r="N133" s="5">
        <v>0.2731077963</v>
      </c>
      <c r="O133" s="5">
        <v>94.38665114</v>
      </c>
      <c r="P133" s="5">
        <v>2.591752445</v>
      </c>
      <c r="Q133" s="5">
        <v>1.905972935</v>
      </c>
      <c r="R133" s="5">
        <v>1.115623477</v>
      </c>
      <c r="S133" s="5">
        <v>97.77557664</v>
      </c>
      <c r="T133" s="5">
        <v>1.1403859</v>
      </c>
      <c r="U133" s="5">
        <v>1.059840374</v>
      </c>
      <c r="V133" s="5">
        <v>0.02419708411</v>
      </c>
      <c r="W133" s="7">
        <f t="shared" si="7"/>
        <v>22</v>
      </c>
    </row>
    <row r="134">
      <c r="A134" s="5" t="s">
        <v>204</v>
      </c>
      <c r="B134" s="5" t="s">
        <v>89</v>
      </c>
      <c r="C134" s="5">
        <v>11673.0293</v>
      </c>
      <c r="D134" s="5">
        <f t="shared" si="1"/>
        <v>12</v>
      </c>
      <c r="E134" s="5">
        <v>70.1230011</v>
      </c>
      <c r="F134" s="5">
        <f t="shared" si="2"/>
        <v>70</v>
      </c>
      <c r="G134" s="5">
        <f t="shared" si="3"/>
        <v>8185.478464</v>
      </c>
      <c r="H134" s="5">
        <f t="shared" si="4"/>
        <v>29.8769989</v>
      </c>
      <c r="I134" s="5">
        <f t="shared" si="5"/>
        <v>30</v>
      </c>
      <c r="J134" s="5">
        <v>93.39007163</v>
      </c>
      <c r="K134" s="5">
        <f t="shared" si="8"/>
        <v>93.4</v>
      </c>
      <c r="L134" s="5">
        <v>0.1365905296</v>
      </c>
      <c r="M134" s="5">
        <v>1.575010843</v>
      </c>
      <c r="N134" s="5">
        <v>4.898326997</v>
      </c>
      <c r="O134" s="5">
        <v>79.93664283</v>
      </c>
      <c r="P134" s="5">
        <v>0.2447364082</v>
      </c>
      <c r="Q134" s="5">
        <v>3.954133693</v>
      </c>
      <c r="R134" s="5">
        <v>15.86448707</v>
      </c>
      <c r="S134" s="5">
        <v>99.12211832</v>
      </c>
      <c r="T134" s="5">
        <v>0.09051328947</v>
      </c>
      <c r="U134" s="5">
        <v>0.5613453808</v>
      </c>
      <c r="V134" s="5">
        <v>0.2260230112</v>
      </c>
      <c r="W134" s="7">
        <f t="shared" si="7"/>
        <v>22</v>
      </c>
    </row>
    <row r="135">
      <c r="A135" s="5" t="s">
        <v>205</v>
      </c>
      <c r="B135" s="5" t="s">
        <v>89</v>
      </c>
      <c r="C135" s="5">
        <v>11818.61816</v>
      </c>
      <c r="D135" s="5">
        <f t="shared" si="1"/>
        <v>12</v>
      </c>
      <c r="E135" s="5">
        <v>69.56800079</v>
      </c>
      <c r="F135" s="5">
        <f t="shared" si="2"/>
        <v>70</v>
      </c>
      <c r="G135" s="5">
        <f t="shared" si="3"/>
        <v>8221.976375</v>
      </c>
      <c r="H135" s="5">
        <f t="shared" si="4"/>
        <v>30.43199921</v>
      </c>
      <c r="I135" s="5">
        <f t="shared" si="5"/>
        <v>30</v>
      </c>
      <c r="J135" s="5">
        <v>97.54330899</v>
      </c>
      <c r="K135" s="5">
        <f t="shared" si="8"/>
        <v>97.5</v>
      </c>
      <c r="L135" s="5">
        <v>1.63135067</v>
      </c>
      <c r="M135" s="5">
        <v>0.8253403378</v>
      </c>
      <c r="N135" s="5">
        <v>0.0</v>
      </c>
      <c r="O135" s="5">
        <v>93.93623193</v>
      </c>
      <c r="P135" s="5">
        <v>3.351687357</v>
      </c>
      <c r="Q135" s="5">
        <v>2.71208071</v>
      </c>
      <c r="R135" s="5">
        <v>0.0</v>
      </c>
      <c r="S135" s="5">
        <v>99.12119763</v>
      </c>
      <c r="T135" s="5">
        <v>0.8788023684</v>
      </c>
      <c r="U135" s="5">
        <v>0.0</v>
      </c>
      <c r="V135" s="5">
        <v>0.0</v>
      </c>
      <c r="W135" s="7">
        <f t="shared" si="7"/>
        <v>22</v>
      </c>
    </row>
    <row r="136">
      <c r="A136" s="5" t="s">
        <v>206</v>
      </c>
      <c r="B136" s="5" t="s">
        <v>89</v>
      </c>
      <c r="C136" s="5">
        <v>11402.5332</v>
      </c>
      <c r="D136" s="5">
        <f t="shared" si="1"/>
        <v>12</v>
      </c>
      <c r="E136" s="5">
        <v>57.08799744</v>
      </c>
      <c r="F136" s="5">
        <f t="shared" si="2"/>
        <v>57</v>
      </c>
      <c r="G136" s="5">
        <f t="shared" si="3"/>
        <v>6509.477861</v>
      </c>
      <c r="H136" s="5">
        <f t="shared" si="4"/>
        <v>42.91200256</v>
      </c>
      <c r="I136" s="5">
        <f t="shared" si="5"/>
        <v>43</v>
      </c>
      <c r="J136" s="5">
        <v>66.6953084</v>
      </c>
      <c r="K136" s="5">
        <f t="shared" si="8"/>
        <v>66.7</v>
      </c>
      <c r="L136" s="5">
        <v>9.814543652</v>
      </c>
      <c r="M136" s="5">
        <v>23.49014795</v>
      </c>
      <c r="N136" s="5">
        <v>0.0</v>
      </c>
      <c r="O136" s="5">
        <v>42.8457001</v>
      </c>
      <c r="P136" s="5">
        <v>13.25598695</v>
      </c>
      <c r="Q136" s="5">
        <v>43.89831295</v>
      </c>
      <c r="R136" s="5">
        <v>0.0</v>
      </c>
      <c r="S136" s="5">
        <v>84.62262129</v>
      </c>
      <c r="T136" s="5">
        <v>7.227673879</v>
      </c>
      <c r="U136" s="5">
        <v>8.149704835</v>
      </c>
      <c r="V136" s="5">
        <v>0.0</v>
      </c>
      <c r="W136" s="7">
        <f t="shared" si="7"/>
        <v>22</v>
      </c>
    </row>
    <row r="137">
      <c r="A137" s="5" t="s">
        <v>207</v>
      </c>
      <c r="B137" s="5" t="s">
        <v>126</v>
      </c>
      <c r="C137" s="5">
        <v>11193.72852</v>
      </c>
      <c r="D137" s="5">
        <f t="shared" si="1"/>
        <v>12</v>
      </c>
      <c r="E137" s="5">
        <v>20.1989994</v>
      </c>
      <c r="F137" s="5">
        <f t="shared" si="2"/>
        <v>20</v>
      </c>
      <c r="G137" s="5">
        <f t="shared" si="3"/>
        <v>2261.021157</v>
      </c>
      <c r="H137" s="5">
        <f t="shared" si="4"/>
        <v>79.8010006</v>
      </c>
      <c r="I137" s="5">
        <f t="shared" si="5"/>
        <v>80</v>
      </c>
      <c r="J137" s="5">
        <v>40.95092717</v>
      </c>
      <c r="K137" s="5">
        <f t="shared" si="8"/>
        <v>41</v>
      </c>
      <c r="L137" s="5">
        <v>37.42696287</v>
      </c>
      <c r="M137" s="5">
        <v>13.53755519</v>
      </c>
      <c r="N137" s="5">
        <v>8.084554762</v>
      </c>
      <c r="O137" s="5">
        <v>33.59362881</v>
      </c>
      <c r="P137" s="5">
        <v>42.16438068</v>
      </c>
      <c r="Q137" s="5">
        <v>14.11109616</v>
      </c>
      <c r="R137" s="5">
        <v>10.13089435</v>
      </c>
      <c r="S137" s="5">
        <v>70.01770445</v>
      </c>
      <c r="T137" s="5">
        <v>18.71066092</v>
      </c>
      <c r="U137" s="5">
        <v>11.27163464</v>
      </c>
      <c r="V137" s="5">
        <v>0.0</v>
      </c>
      <c r="W137" s="7">
        <f t="shared" si="7"/>
        <v>22</v>
      </c>
    </row>
    <row r="138">
      <c r="A138" s="5" t="s">
        <v>208</v>
      </c>
      <c r="B138" s="5" t="s">
        <v>126</v>
      </c>
      <c r="C138" s="5">
        <v>11890.78125</v>
      </c>
      <c r="D138" s="5">
        <f t="shared" si="1"/>
        <v>12</v>
      </c>
      <c r="E138" s="5">
        <v>13.70800018</v>
      </c>
      <c r="F138" s="5">
        <f t="shared" si="2"/>
        <v>14</v>
      </c>
      <c r="G138" s="5">
        <f t="shared" si="3"/>
        <v>1629.988315</v>
      </c>
      <c r="H138" s="5">
        <f t="shared" si="4"/>
        <v>86.29199982</v>
      </c>
      <c r="I138" s="5">
        <f t="shared" si="5"/>
        <v>86</v>
      </c>
      <c r="J138" s="5">
        <v>62.20712225</v>
      </c>
      <c r="K138" s="5">
        <f t="shared" si="8"/>
        <v>62.2</v>
      </c>
      <c r="L138" s="5">
        <v>19.43969314</v>
      </c>
      <c r="M138" s="5">
        <v>14.75825969</v>
      </c>
      <c r="N138" s="5">
        <v>3.594924913</v>
      </c>
      <c r="O138" s="5">
        <v>57.68576527</v>
      </c>
      <c r="P138" s="5">
        <v>21.25148213</v>
      </c>
      <c r="Q138" s="5">
        <v>16.89675238</v>
      </c>
      <c r="R138" s="5">
        <v>4.166000219</v>
      </c>
      <c r="S138" s="5">
        <v>90.66911086</v>
      </c>
      <c r="T138" s="5">
        <v>8.034462869</v>
      </c>
      <c r="U138" s="5">
        <v>1.296426269</v>
      </c>
      <c r="V138" s="5">
        <v>0.0</v>
      </c>
      <c r="W138" s="7">
        <f t="shared" si="7"/>
        <v>22</v>
      </c>
    </row>
    <row r="139">
      <c r="A139" s="5" t="s">
        <v>209</v>
      </c>
      <c r="B139" s="5" t="s">
        <v>89</v>
      </c>
      <c r="C139" s="5">
        <v>12123.19824</v>
      </c>
      <c r="D139" s="5">
        <f t="shared" si="1"/>
        <v>13</v>
      </c>
      <c r="E139" s="5">
        <v>48.4149971</v>
      </c>
      <c r="F139" s="5">
        <f t="shared" si="2"/>
        <v>48</v>
      </c>
      <c r="G139" s="5">
        <f t="shared" si="3"/>
        <v>5869.446076</v>
      </c>
      <c r="H139" s="5">
        <f t="shared" si="4"/>
        <v>51.5850029</v>
      </c>
      <c r="I139" s="5">
        <f t="shared" si="5"/>
        <v>52</v>
      </c>
      <c r="J139" s="5">
        <v>65.41412299</v>
      </c>
      <c r="K139" s="5">
        <f t="shared" si="8"/>
        <v>65.4</v>
      </c>
      <c r="L139" s="5">
        <v>9.317535586</v>
      </c>
      <c r="M139" s="5">
        <v>21.97254088</v>
      </c>
      <c r="N139" s="5">
        <v>3.295800547</v>
      </c>
      <c r="O139" s="5">
        <v>58.05226799</v>
      </c>
      <c r="P139" s="5">
        <v>12.70520504</v>
      </c>
      <c r="Q139" s="5">
        <v>23.97796833</v>
      </c>
      <c r="R139" s="5">
        <v>5.264558634</v>
      </c>
      <c r="S139" s="5">
        <v>73.25800004</v>
      </c>
      <c r="T139" s="5">
        <v>19.83580681</v>
      </c>
      <c r="U139" s="5">
        <v>1.198136794</v>
      </c>
      <c r="V139" s="5" t="s">
        <v>25</v>
      </c>
      <c r="W139" s="7">
        <f t="shared" si="7"/>
        <v>22</v>
      </c>
    </row>
    <row r="140">
      <c r="A140" s="5" t="s">
        <v>210</v>
      </c>
      <c r="B140" s="5" t="s">
        <v>126</v>
      </c>
      <c r="C140" s="5">
        <v>12952.20898</v>
      </c>
      <c r="D140" s="5">
        <f t="shared" si="1"/>
        <v>13</v>
      </c>
      <c r="E140" s="5">
        <v>17.43200111</v>
      </c>
      <c r="F140" s="5">
        <f t="shared" si="2"/>
        <v>17</v>
      </c>
      <c r="G140" s="5">
        <f t="shared" si="3"/>
        <v>2257.829213</v>
      </c>
      <c r="H140" s="5">
        <f t="shared" si="4"/>
        <v>82.56799889</v>
      </c>
      <c r="I140" s="5">
        <f t="shared" si="5"/>
        <v>83</v>
      </c>
      <c r="J140" s="5">
        <v>60.41450115</v>
      </c>
      <c r="K140" s="5">
        <f t="shared" si="8"/>
        <v>60.4</v>
      </c>
      <c r="L140" s="5">
        <v>22.3207193</v>
      </c>
      <c r="M140" s="5">
        <v>13.15480415</v>
      </c>
      <c r="N140" s="5">
        <v>4.109975401</v>
      </c>
      <c r="O140" s="5">
        <v>55.64246823</v>
      </c>
      <c r="P140" s="5">
        <v>25.08014133</v>
      </c>
      <c r="Q140" s="5">
        <v>14.77886772</v>
      </c>
      <c r="R140" s="5">
        <v>4.498522714</v>
      </c>
      <c r="S140" s="5">
        <v>83.0175993</v>
      </c>
      <c r="T140" s="5">
        <v>9.250506251</v>
      </c>
      <c r="U140" s="5">
        <v>5.462303057</v>
      </c>
      <c r="V140" s="5">
        <v>2.269591394</v>
      </c>
      <c r="W140" s="7">
        <f t="shared" si="7"/>
        <v>22</v>
      </c>
    </row>
    <row r="141">
      <c r="A141" s="5" t="s">
        <v>211</v>
      </c>
      <c r="B141" s="5" t="s">
        <v>126</v>
      </c>
      <c r="C141" s="5">
        <v>13132.79199</v>
      </c>
      <c r="D141" s="5">
        <f t="shared" si="1"/>
        <v>14</v>
      </c>
      <c r="E141" s="5">
        <v>36.875</v>
      </c>
      <c r="F141" s="5">
        <f t="shared" si="2"/>
        <v>37</v>
      </c>
      <c r="G141" s="5">
        <f t="shared" si="3"/>
        <v>4842.717046</v>
      </c>
      <c r="H141" s="5">
        <f t="shared" si="4"/>
        <v>63.125</v>
      </c>
      <c r="I141" s="5">
        <f t="shared" si="5"/>
        <v>63</v>
      </c>
      <c r="J141" s="5">
        <v>63.96178874</v>
      </c>
      <c r="K141" s="5">
        <f t="shared" si="8"/>
        <v>64</v>
      </c>
      <c r="L141" s="5">
        <v>21.2815915</v>
      </c>
      <c r="M141" s="5">
        <v>6.296119406</v>
      </c>
      <c r="N141" s="5">
        <v>8.460500354</v>
      </c>
      <c r="O141" s="5">
        <v>50.74817899</v>
      </c>
      <c r="P141" s="5">
        <v>26.14432944</v>
      </c>
      <c r="Q141" s="5">
        <v>9.704719143</v>
      </c>
      <c r="R141" s="5">
        <v>13.40277243</v>
      </c>
      <c r="S141" s="5">
        <v>86.58169007</v>
      </c>
      <c r="T141" s="5">
        <v>12.95724153</v>
      </c>
      <c r="U141" s="5">
        <v>0.461068398</v>
      </c>
      <c r="V141" s="5">
        <v>0.0</v>
      </c>
      <c r="W141" s="7">
        <f t="shared" si="7"/>
        <v>22</v>
      </c>
    </row>
    <row r="142">
      <c r="A142" s="5" t="s">
        <v>212</v>
      </c>
      <c r="B142" s="5" t="s">
        <v>89</v>
      </c>
      <c r="C142" s="5">
        <v>14862.92676</v>
      </c>
      <c r="D142" s="5">
        <f t="shared" si="1"/>
        <v>15</v>
      </c>
      <c r="E142" s="5">
        <v>32.24200058</v>
      </c>
      <c r="F142" s="5">
        <f t="shared" si="2"/>
        <v>32</v>
      </c>
      <c r="G142" s="5">
        <f t="shared" si="3"/>
        <v>4792.104932</v>
      </c>
      <c r="H142" s="5">
        <f t="shared" si="4"/>
        <v>67.75799942</v>
      </c>
      <c r="I142" s="5">
        <f t="shared" si="5"/>
        <v>68</v>
      </c>
      <c r="J142" s="5">
        <v>62.66645761</v>
      </c>
      <c r="K142" s="5">
        <f t="shared" si="8"/>
        <v>62.7</v>
      </c>
      <c r="L142" s="5">
        <v>14.1975397</v>
      </c>
      <c r="M142" s="5">
        <v>16.27785545</v>
      </c>
      <c r="N142" s="5">
        <v>6.858147242</v>
      </c>
      <c r="O142" s="5">
        <v>48.28242885</v>
      </c>
      <c r="P142" s="5">
        <v>18.59098467</v>
      </c>
      <c r="Q142" s="5">
        <v>23.01364655</v>
      </c>
      <c r="R142" s="5">
        <v>10.11293992</v>
      </c>
      <c r="S142" s="5">
        <v>92.89512895</v>
      </c>
      <c r="T142" s="5">
        <v>4.964517757</v>
      </c>
      <c r="U142" s="5">
        <v>2.122298674</v>
      </c>
      <c r="V142" s="5">
        <v>0.01805461538</v>
      </c>
      <c r="W142" s="7">
        <f t="shared" si="7"/>
        <v>22</v>
      </c>
    </row>
    <row r="143">
      <c r="A143" s="5" t="s">
        <v>213</v>
      </c>
      <c r="B143" s="5" t="s">
        <v>126</v>
      </c>
      <c r="C143" s="5">
        <v>15893.21875</v>
      </c>
      <c r="D143" s="5">
        <f t="shared" si="1"/>
        <v>16</v>
      </c>
      <c r="E143" s="5">
        <v>46.14099884</v>
      </c>
      <c r="F143" s="5">
        <f t="shared" si="2"/>
        <v>46</v>
      </c>
      <c r="G143" s="5">
        <f t="shared" si="3"/>
        <v>7333.289879</v>
      </c>
      <c r="H143" s="5">
        <f t="shared" si="4"/>
        <v>53.85900116</v>
      </c>
      <c r="I143" s="5">
        <f t="shared" si="5"/>
        <v>54</v>
      </c>
      <c r="J143" s="5">
        <v>56.47697339</v>
      </c>
      <c r="K143" s="5">
        <f t="shared" si="8"/>
        <v>56.5</v>
      </c>
      <c r="L143" s="5">
        <v>27.70419956</v>
      </c>
      <c r="M143" s="5">
        <v>13.41704303</v>
      </c>
      <c r="N143" s="5">
        <v>2.401784021</v>
      </c>
      <c r="O143" s="5">
        <v>37.07586282</v>
      </c>
      <c r="P143" s="5">
        <v>36.64324958</v>
      </c>
      <c r="Q143" s="5">
        <v>21.82149546</v>
      </c>
      <c r="R143" s="5">
        <v>4.459392143</v>
      </c>
      <c r="S143" s="5">
        <v>79.12330574</v>
      </c>
      <c r="T143" s="5">
        <v>17.26991556</v>
      </c>
      <c r="U143" s="5">
        <v>3.606778703</v>
      </c>
      <c r="V143" s="5">
        <v>0.0</v>
      </c>
      <c r="W143" s="7">
        <f t="shared" si="7"/>
        <v>22</v>
      </c>
    </row>
    <row r="144">
      <c r="A144" s="5" t="s">
        <v>214</v>
      </c>
      <c r="B144" s="5" t="s">
        <v>89</v>
      </c>
      <c r="C144" s="5">
        <v>16743.92969</v>
      </c>
      <c r="D144" s="5">
        <f t="shared" si="1"/>
        <v>17</v>
      </c>
      <c r="E144" s="5">
        <v>48.12200165</v>
      </c>
      <c r="F144" s="5">
        <f t="shared" si="2"/>
        <v>48</v>
      </c>
      <c r="G144" s="5">
        <f t="shared" si="3"/>
        <v>8057.514122</v>
      </c>
      <c r="H144" s="5">
        <f t="shared" si="4"/>
        <v>51.87799835</v>
      </c>
      <c r="I144" s="5">
        <f t="shared" si="5"/>
        <v>52</v>
      </c>
      <c r="J144" s="5">
        <v>84.90523779</v>
      </c>
      <c r="K144" s="5">
        <f t="shared" si="8"/>
        <v>84.9</v>
      </c>
      <c r="L144" s="5">
        <v>2.387217509</v>
      </c>
      <c r="M144" s="5">
        <v>12.60781566</v>
      </c>
      <c r="N144" s="5">
        <v>0.09972904042</v>
      </c>
      <c r="O144" s="5">
        <v>75.2429282</v>
      </c>
      <c r="P144" s="5">
        <v>4.052382433</v>
      </c>
      <c r="Q144" s="5">
        <v>20.51245174</v>
      </c>
      <c r="R144" s="5">
        <v>0.1922376314</v>
      </c>
      <c r="S144" s="5">
        <v>95.32170094</v>
      </c>
      <c r="T144" s="5">
        <v>0.5920836567</v>
      </c>
      <c r="U144" s="5">
        <v>4.086215402</v>
      </c>
      <c r="V144" s="5">
        <v>0.0</v>
      </c>
      <c r="W144" s="7">
        <f t="shared" si="7"/>
        <v>22</v>
      </c>
    </row>
    <row r="145">
      <c r="A145" s="5" t="s">
        <v>215</v>
      </c>
      <c r="B145" s="5" t="s">
        <v>126</v>
      </c>
      <c r="C145" s="5">
        <v>16425.85938</v>
      </c>
      <c r="D145" s="5">
        <f t="shared" si="1"/>
        <v>17</v>
      </c>
      <c r="E145" s="5">
        <v>23.52000046</v>
      </c>
      <c r="F145" s="5">
        <f t="shared" si="2"/>
        <v>24</v>
      </c>
      <c r="G145" s="5">
        <f t="shared" si="3"/>
        <v>3863.362202</v>
      </c>
      <c r="H145" s="5">
        <f t="shared" si="4"/>
        <v>76.47999954</v>
      </c>
      <c r="I145" s="5">
        <f t="shared" si="5"/>
        <v>76</v>
      </c>
      <c r="J145" s="5">
        <v>46.18753479</v>
      </c>
      <c r="K145" s="5">
        <f t="shared" si="8"/>
        <v>46.2</v>
      </c>
      <c r="L145" s="5">
        <v>14.74028929</v>
      </c>
      <c r="M145" s="5">
        <v>31.56245714</v>
      </c>
      <c r="N145" s="5">
        <v>7.509718784</v>
      </c>
      <c r="O145" s="5">
        <v>37.57521525</v>
      </c>
      <c r="P145" s="5">
        <v>14.35396111</v>
      </c>
      <c r="Q145" s="5">
        <v>38.52496761</v>
      </c>
      <c r="R145" s="5">
        <v>9.545856027</v>
      </c>
      <c r="S145" s="5">
        <v>74.19222309</v>
      </c>
      <c r="T145" s="5">
        <v>15.99651381</v>
      </c>
      <c r="U145" s="5">
        <v>8.922452721</v>
      </c>
      <c r="V145" s="5">
        <v>0.8888103843</v>
      </c>
      <c r="W145" s="7">
        <f t="shared" si="7"/>
        <v>22</v>
      </c>
    </row>
    <row r="146">
      <c r="A146" s="5" t="s">
        <v>216</v>
      </c>
      <c r="B146" s="5" t="s">
        <v>89</v>
      </c>
      <c r="C146" s="5">
        <v>16718.9707</v>
      </c>
      <c r="D146" s="5">
        <f t="shared" si="1"/>
        <v>17</v>
      </c>
      <c r="E146" s="5">
        <v>24.23200035</v>
      </c>
      <c r="F146" s="5">
        <f t="shared" si="2"/>
        <v>24</v>
      </c>
      <c r="G146" s="5">
        <f t="shared" si="3"/>
        <v>4051.341039</v>
      </c>
      <c r="H146" s="5">
        <f t="shared" si="4"/>
        <v>75.76799965</v>
      </c>
      <c r="I146" s="5">
        <f t="shared" si="5"/>
        <v>76</v>
      </c>
      <c r="J146" s="5">
        <v>71.21988497</v>
      </c>
      <c r="K146" s="5">
        <f t="shared" si="8"/>
        <v>71.2</v>
      </c>
      <c r="L146" s="5">
        <v>13.90222204</v>
      </c>
      <c r="M146" s="5">
        <v>5.677218558</v>
      </c>
      <c r="N146" s="5">
        <v>9.200674434</v>
      </c>
      <c r="O146" s="5">
        <v>65.06715583</v>
      </c>
      <c r="P146" s="5">
        <v>15.51772278</v>
      </c>
      <c r="Q146" s="5">
        <v>7.492899307</v>
      </c>
      <c r="R146" s="5">
        <v>11.92222209</v>
      </c>
      <c r="S146" s="5">
        <v>90.45807717</v>
      </c>
      <c r="T146" s="5">
        <v>8.85091472</v>
      </c>
      <c r="U146" s="5">
        <v>0.0</v>
      </c>
      <c r="V146" s="5">
        <v>0.6910081144</v>
      </c>
      <c r="W146" s="7">
        <f t="shared" si="7"/>
        <v>22</v>
      </c>
    </row>
    <row r="147">
      <c r="A147" s="5" t="s">
        <v>217</v>
      </c>
      <c r="B147" s="5" t="s">
        <v>43</v>
      </c>
      <c r="C147" s="5">
        <v>17134.87305</v>
      </c>
      <c r="D147" s="5">
        <f t="shared" si="1"/>
        <v>18</v>
      </c>
      <c r="E147" s="5">
        <v>92.23600006</v>
      </c>
      <c r="F147" s="5">
        <f t="shared" si="2"/>
        <v>92</v>
      </c>
      <c r="G147" s="5">
        <f t="shared" si="3"/>
        <v>15804.52152</v>
      </c>
      <c r="H147" s="5">
        <f t="shared" si="4"/>
        <v>7.76399994</v>
      </c>
      <c r="I147" s="5">
        <f t="shared" si="5"/>
        <v>8</v>
      </c>
      <c r="J147" s="5">
        <v>99.99999929</v>
      </c>
      <c r="K147" s="5">
        <f t="shared" si="8"/>
        <v>100</v>
      </c>
      <c r="L147" s="5">
        <v>0.0</v>
      </c>
      <c r="M147" s="5">
        <v>7.12408621E-7</v>
      </c>
      <c r="N147" s="5">
        <v>0.0</v>
      </c>
      <c r="O147" s="5">
        <v>100.0</v>
      </c>
      <c r="P147" s="5">
        <v>0.0</v>
      </c>
      <c r="Q147" s="5">
        <v>0.0</v>
      </c>
      <c r="R147" s="5">
        <v>0.0</v>
      </c>
      <c r="S147" s="5">
        <v>100.0</v>
      </c>
      <c r="T147" s="5">
        <v>0.0</v>
      </c>
      <c r="U147" s="5">
        <v>0.0</v>
      </c>
      <c r="V147" s="5">
        <v>0.0</v>
      </c>
      <c r="W147" s="7">
        <f t="shared" si="7"/>
        <v>22</v>
      </c>
    </row>
    <row r="148">
      <c r="A148" s="5" t="s">
        <v>218</v>
      </c>
      <c r="B148" s="5" t="s">
        <v>79</v>
      </c>
      <c r="C148" s="5">
        <v>17643.06055</v>
      </c>
      <c r="D148" s="5">
        <f t="shared" si="1"/>
        <v>18</v>
      </c>
      <c r="E148" s="5">
        <v>64.16600037</v>
      </c>
      <c r="F148" s="5">
        <f t="shared" si="2"/>
        <v>64</v>
      </c>
      <c r="G148" s="5">
        <f t="shared" si="3"/>
        <v>11320.8463</v>
      </c>
      <c r="H148" s="5">
        <f t="shared" si="4"/>
        <v>35.83399963</v>
      </c>
      <c r="I148" s="5">
        <f t="shared" si="5"/>
        <v>36</v>
      </c>
      <c r="J148" s="5">
        <v>95.35976356</v>
      </c>
      <c r="K148" s="5">
        <f t="shared" si="8"/>
        <v>95.4</v>
      </c>
      <c r="L148" s="5">
        <v>0.003451463449</v>
      </c>
      <c r="M148" s="5">
        <v>2.604485389</v>
      </c>
      <c r="N148" s="5">
        <v>2.032299589</v>
      </c>
      <c r="O148" s="5">
        <v>87.05074495</v>
      </c>
      <c r="P148" s="5">
        <v>0.009631811022</v>
      </c>
      <c r="Q148" s="5">
        <v>7.26819549</v>
      </c>
      <c r="R148" s="5">
        <v>5.671427747</v>
      </c>
      <c r="S148" s="5">
        <v>100.0</v>
      </c>
      <c r="T148" s="5">
        <v>0.0</v>
      </c>
      <c r="U148" s="5">
        <v>0.0</v>
      </c>
      <c r="V148" s="5">
        <v>0.0</v>
      </c>
      <c r="W148" s="7">
        <f t="shared" si="7"/>
        <v>22</v>
      </c>
    </row>
    <row r="149">
      <c r="A149" s="5" t="s">
        <v>219</v>
      </c>
      <c r="B149" s="5" t="s">
        <v>126</v>
      </c>
      <c r="C149" s="5">
        <v>17500.65625</v>
      </c>
      <c r="D149" s="5">
        <f t="shared" si="1"/>
        <v>18</v>
      </c>
      <c r="E149" s="5">
        <v>55.47500229</v>
      </c>
      <c r="F149" s="5">
        <f t="shared" si="2"/>
        <v>55</v>
      </c>
      <c r="G149" s="5">
        <f t="shared" si="3"/>
        <v>9708.489455</v>
      </c>
      <c r="H149" s="5">
        <f t="shared" si="4"/>
        <v>44.52499771</v>
      </c>
      <c r="I149" s="5">
        <f t="shared" si="5"/>
        <v>45</v>
      </c>
      <c r="J149" s="5">
        <v>93.92585718</v>
      </c>
      <c r="K149" s="5">
        <f t="shared" si="8"/>
        <v>93.9</v>
      </c>
      <c r="L149" s="5">
        <v>5.873730768</v>
      </c>
      <c r="M149" s="5">
        <v>0.2004120542</v>
      </c>
      <c r="N149" s="5">
        <v>0.0</v>
      </c>
      <c r="O149" s="5">
        <v>92.082745</v>
      </c>
      <c r="P149" s="5">
        <v>7.917255</v>
      </c>
      <c r="Q149" s="5">
        <v>0.0</v>
      </c>
      <c r="R149" s="5">
        <v>0.0</v>
      </c>
      <c r="S149" s="5">
        <v>95.40516436</v>
      </c>
      <c r="T149" s="5">
        <v>4.233570117</v>
      </c>
      <c r="U149" s="5">
        <v>0.361265525</v>
      </c>
      <c r="V149" s="5">
        <v>0.0</v>
      </c>
      <c r="W149" s="7">
        <f t="shared" si="7"/>
        <v>22</v>
      </c>
    </row>
    <row r="150">
      <c r="A150" s="5" t="s">
        <v>220</v>
      </c>
      <c r="B150" s="5" t="s">
        <v>79</v>
      </c>
      <c r="C150" s="5">
        <v>17915.56641</v>
      </c>
      <c r="D150" s="5">
        <f t="shared" si="1"/>
        <v>18</v>
      </c>
      <c r="E150" s="5">
        <v>51.83599854</v>
      </c>
      <c r="F150" s="5">
        <f t="shared" si="2"/>
        <v>52</v>
      </c>
      <c r="G150" s="5">
        <f t="shared" si="3"/>
        <v>9286.712743</v>
      </c>
      <c r="H150" s="5">
        <f t="shared" si="4"/>
        <v>48.16400146</v>
      </c>
      <c r="I150" s="5">
        <f t="shared" si="5"/>
        <v>48</v>
      </c>
      <c r="J150" s="5">
        <v>94.00642827</v>
      </c>
      <c r="K150" s="5">
        <f t="shared" si="8"/>
        <v>94</v>
      </c>
      <c r="L150" s="5">
        <v>1.034150511</v>
      </c>
      <c r="M150" s="5">
        <v>3.215911815</v>
      </c>
      <c r="N150" s="5">
        <v>1.743509404</v>
      </c>
      <c r="O150" s="5">
        <v>90.1193298</v>
      </c>
      <c r="P150" s="5">
        <v>1.849169999</v>
      </c>
      <c r="Q150" s="5">
        <v>4.583438691</v>
      </c>
      <c r="R150" s="5">
        <v>3.448061508</v>
      </c>
      <c r="S150" s="5">
        <v>97.61816944</v>
      </c>
      <c r="T150" s="5">
        <v>0.2768660057</v>
      </c>
      <c r="U150" s="5">
        <v>1.94525887</v>
      </c>
      <c r="V150" s="5">
        <v>0.1597056849</v>
      </c>
      <c r="W150" s="7">
        <f t="shared" si="7"/>
        <v>22</v>
      </c>
    </row>
    <row r="151">
      <c r="A151" s="5" t="s">
        <v>221</v>
      </c>
      <c r="B151" s="5" t="s">
        <v>79</v>
      </c>
      <c r="C151" s="5">
        <v>18776.70703</v>
      </c>
      <c r="D151" s="5">
        <f t="shared" si="1"/>
        <v>19</v>
      </c>
      <c r="E151" s="5">
        <v>57.67100143</v>
      </c>
      <c r="F151" s="5">
        <f t="shared" si="2"/>
        <v>58</v>
      </c>
      <c r="G151" s="5">
        <f t="shared" si="3"/>
        <v>10828.71498</v>
      </c>
      <c r="H151" s="5">
        <f t="shared" si="4"/>
        <v>42.32899857</v>
      </c>
      <c r="I151" s="5">
        <f t="shared" si="5"/>
        <v>42</v>
      </c>
      <c r="J151" s="5">
        <v>95.43497032</v>
      </c>
      <c r="K151" s="5">
        <f t="shared" si="8"/>
        <v>95.4</v>
      </c>
      <c r="L151" s="5">
        <v>1.941425039</v>
      </c>
      <c r="M151" s="5">
        <v>2.545956934</v>
      </c>
      <c r="N151" s="5">
        <v>0.07764770471</v>
      </c>
      <c r="O151" s="5">
        <v>91.93925234</v>
      </c>
      <c r="P151" s="5">
        <v>1.862616064</v>
      </c>
      <c r="Q151" s="5">
        <v>6.014693049</v>
      </c>
      <c r="R151" s="5">
        <v>0.1834385438</v>
      </c>
      <c r="S151" s="5">
        <v>98.00073133</v>
      </c>
      <c r="T151" s="5">
        <v>1.999268673</v>
      </c>
      <c r="U151" s="5">
        <v>0.0</v>
      </c>
      <c r="V151" s="5">
        <v>0.0</v>
      </c>
      <c r="W151" s="7">
        <f t="shared" si="7"/>
        <v>22</v>
      </c>
    </row>
    <row r="152">
      <c r="A152" s="5" t="s">
        <v>222</v>
      </c>
      <c r="B152" s="5" t="s">
        <v>126</v>
      </c>
      <c r="C152" s="5">
        <v>18383.95508</v>
      </c>
      <c r="D152" s="5">
        <f t="shared" si="1"/>
        <v>19</v>
      </c>
      <c r="E152" s="5">
        <v>44.6289978</v>
      </c>
      <c r="F152" s="5">
        <f t="shared" si="2"/>
        <v>45</v>
      </c>
      <c r="G152" s="5">
        <f t="shared" si="3"/>
        <v>8204.574908</v>
      </c>
      <c r="H152" s="5">
        <f t="shared" si="4"/>
        <v>55.3710022</v>
      </c>
      <c r="I152" s="5">
        <f t="shared" si="5"/>
        <v>55</v>
      </c>
      <c r="J152" s="5">
        <v>65.41238357</v>
      </c>
      <c r="K152" s="5">
        <f t="shared" si="8"/>
        <v>65.4</v>
      </c>
      <c r="L152" s="5">
        <v>6.15393902</v>
      </c>
      <c r="M152" s="5">
        <v>21.57684071</v>
      </c>
      <c r="N152" s="5">
        <v>6.856836706</v>
      </c>
      <c r="O152" s="5">
        <v>48.22728833</v>
      </c>
      <c r="P152" s="5">
        <v>8.331703613</v>
      </c>
      <c r="Q152" s="5">
        <v>31.60865444</v>
      </c>
      <c r="R152" s="5">
        <v>11.83235362</v>
      </c>
      <c r="S152" s="5">
        <v>86.73385466</v>
      </c>
      <c r="T152" s="5">
        <v>3.451996194</v>
      </c>
      <c r="U152" s="5">
        <v>9.130414105</v>
      </c>
      <c r="V152" s="5">
        <v>0.6837350463</v>
      </c>
      <c r="W152" s="7">
        <f t="shared" si="7"/>
        <v>22</v>
      </c>
    </row>
    <row r="153">
      <c r="A153" s="5" t="s">
        <v>223</v>
      </c>
      <c r="B153" s="5" t="s">
        <v>43</v>
      </c>
      <c r="C153" s="5">
        <v>19116.20898</v>
      </c>
      <c r="D153" s="5">
        <f t="shared" si="1"/>
        <v>20</v>
      </c>
      <c r="E153" s="5">
        <v>87.72699738</v>
      </c>
      <c r="F153" s="5">
        <f t="shared" si="2"/>
        <v>88</v>
      </c>
      <c r="G153" s="5">
        <f t="shared" si="3"/>
        <v>16770.07615</v>
      </c>
      <c r="H153" s="5">
        <f t="shared" si="4"/>
        <v>12.27300262</v>
      </c>
      <c r="I153" s="5">
        <f t="shared" si="5"/>
        <v>12</v>
      </c>
      <c r="J153" s="5">
        <v>99.99999872</v>
      </c>
      <c r="K153" s="5">
        <f t="shared" si="8"/>
        <v>100</v>
      </c>
      <c r="L153" s="5">
        <v>0.0</v>
      </c>
      <c r="M153" s="5">
        <v>1.277139333E-6</v>
      </c>
      <c r="N153" s="5">
        <v>0.0</v>
      </c>
      <c r="O153" s="5">
        <v>100.0</v>
      </c>
      <c r="P153" s="5">
        <v>0.0</v>
      </c>
      <c r="Q153" s="5">
        <v>0.0</v>
      </c>
      <c r="R153" s="5">
        <v>0.0</v>
      </c>
      <c r="S153" s="5">
        <v>100.0</v>
      </c>
      <c r="T153" s="5">
        <v>0.0</v>
      </c>
      <c r="U153" s="5">
        <v>0.0</v>
      </c>
      <c r="V153" s="5">
        <v>0.0</v>
      </c>
      <c r="W153" s="7">
        <f t="shared" si="7"/>
        <v>22</v>
      </c>
    </row>
    <row r="154">
      <c r="A154" s="5" t="s">
        <v>224</v>
      </c>
      <c r="B154" s="5" t="s">
        <v>43</v>
      </c>
      <c r="C154" s="5">
        <v>19237.68164</v>
      </c>
      <c r="D154" s="5">
        <f t="shared" si="1"/>
        <v>20</v>
      </c>
      <c r="E154" s="5">
        <v>54.19400024</v>
      </c>
      <c r="F154" s="5">
        <f t="shared" si="2"/>
        <v>54</v>
      </c>
      <c r="G154" s="5">
        <f t="shared" si="3"/>
        <v>10425.66923</v>
      </c>
      <c r="H154" s="5">
        <f t="shared" si="4"/>
        <v>45.80599976</v>
      </c>
      <c r="I154" s="5">
        <f t="shared" si="5"/>
        <v>46</v>
      </c>
      <c r="J154" s="5">
        <v>100.0</v>
      </c>
      <c r="K154" s="5">
        <f t="shared" si="8"/>
        <v>100</v>
      </c>
      <c r="L154" s="5">
        <v>0.0</v>
      </c>
      <c r="M154" s="5">
        <v>0.0</v>
      </c>
      <c r="N154" s="5">
        <v>0.0</v>
      </c>
      <c r="O154" s="5">
        <v>100.0</v>
      </c>
      <c r="P154" s="5">
        <v>0.0</v>
      </c>
      <c r="Q154" s="5">
        <v>0.0</v>
      </c>
      <c r="R154" s="5">
        <v>0.0</v>
      </c>
      <c r="S154" s="5">
        <v>100.0</v>
      </c>
      <c r="T154" s="5">
        <v>0.0</v>
      </c>
      <c r="U154" s="5">
        <v>0.0</v>
      </c>
      <c r="V154" s="5">
        <v>0.0</v>
      </c>
      <c r="W154" s="7">
        <f t="shared" si="7"/>
        <v>22</v>
      </c>
    </row>
    <row r="155">
      <c r="A155" s="5" t="s">
        <v>225</v>
      </c>
      <c r="B155" s="5" t="s">
        <v>126</v>
      </c>
      <c r="C155" s="5">
        <v>19129.95508</v>
      </c>
      <c r="D155" s="5">
        <f t="shared" si="1"/>
        <v>20</v>
      </c>
      <c r="E155" s="5">
        <v>17.42700005</v>
      </c>
      <c r="F155" s="5">
        <f t="shared" si="2"/>
        <v>17</v>
      </c>
      <c r="G155" s="5">
        <f t="shared" si="3"/>
        <v>3333.777281</v>
      </c>
      <c r="H155" s="5">
        <f t="shared" si="4"/>
        <v>82.57299995</v>
      </c>
      <c r="I155" s="5">
        <f t="shared" si="5"/>
        <v>83</v>
      </c>
      <c r="J155" s="5">
        <v>70.04772851</v>
      </c>
      <c r="K155" s="5">
        <f t="shared" si="8"/>
        <v>70</v>
      </c>
      <c r="L155" s="5">
        <v>21.95081497</v>
      </c>
      <c r="M155" s="5">
        <v>5.776304407</v>
      </c>
      <c r="N155" s="5">
        <v>2.22515211</v>
      </c>
      <c r="O155" s="5">
        <v>66.58504376</v>
      </c>
      <c r="P155" s="5">
        <v>24.41415803</v>
      </c>
      <c r="Q155" s="5">
        <v>6.383874146</v>
      </c>
      <c r="R155" s="5">
        <v>2.616924066</v>
      </c>
      <c r="S155" s="5">
        <v>86.45469821</v>
      </c>
      <c r="T155" s="5">
        <v>10.27894825</v>
      </c>
      <c r="U155" s="5">
        <v>2.897503996</v>
      </c>
      <c r="V155" s="5">
        <v>0.3688495446</v>
      </c>
      <c r="W155" s="7">
        <f t="shared" si="7"/>
        <v>22</v>
      </c>
    </row>
    <row r="156">
      <c r="A156" s="5" t="s">
        <v>226</v>
      </c>
      <c r="B156" s="5" t="s">
        <v>126</v>
      </c>
      <c r="C156" s="5">
        <v>20250.83398</v>
      </c>
      <c r="D156" s="5">
        <f t="shared" si="1"/>
        <v>21</v>
      </c>
      <c r="E156" s="5">
        <v>43.90900421</v>
      </c>
      <c r="F156" s="5">
        <f t="shared" si="2"/>
        <v>44</v>
      </c>
      <c r="G156" s="5">
        <f t="shared" si="3"/>
        <v>8891.939545</v>
      </c>
      <c r="H156" s="5">
        <f t="shared" si="4"/>
        <v>56.09099579</v>
      </c>
      <c r="I156" s="5">
        <f t="shared" si="5"/>
        <v>56</v>
      </c>
      <c r="J156" s="5">
        <v>82.54729103</v>
      </c>
      <c r="K156" s="5">
        <f t="shared" si="8"/>
        <v>82.5</v>
      </c>
      <c r="L156" s="5">
        <v>3.854734527</v>
      </c>
      <c r="M156" s="5">
        <v>12.24697135</v>
      </c>
      <c r="N156" s="5">
        <v>1.35100309</v>
      </c>
      <c r="O156" s="5">
        <v>72.08089521</v>
      </c>
      <c r="P156" s="5">
        <v>3.78241223</v>
      </c>
      <c r="Q156" s="5">
        <v>21.72810084</v>
      </c>
      <c r="R156" s="5">
        <v>2.408591717</v>
      </c>
      <c r="S156" s="5">
        <v>95.91745475</v>
      </c>
      <c r="T156" s="5">
        <v>3.947121723</v>
      </c>
      <c r="U156" s="5">
        <v>0.1354235314</v>
      </c>
      <c r="V156" s="5">
        <v>0.0</v>
      </c>
      <c r="W156" s="7">
        <f t="shared" si="7"/>
        <v>22</v>
      </c>
    </row>
    <row r="157">
      <c r="A157" s="5" t="s">
        <v>227</v>
      </c>
      <c r="B157" s="5" t="s">
        <v>126</v>
      </c>
      <c r="C157" s="5">
        <v>20903.27734</v>
      </c>
      <c r="D157" s="5">
        <f t="shared" si="1"/>
        <v>21</v>
      </c>
      <c r="E157" s="5">
        <v>30.60700035</v>
      </c>
      <c r="F157" s="5">
        <f t="shared" si="2"/>
        <v>31</v>
      </c>
      <c r="G157" s="5">
        <f t="shared" si="3"/>
        <v>6397.866169</v>
      </c>
      <c r="H157" s="5">
        <f t="shared" si="4"/>
        <v>69.39299965</v>
      </c>
      <c r="I157" s="5">
        <f t="shared" si="5"/>
        <v>69</v>
      </c>
      <c r="J157" s="5">
        <v>47.21485446</v>
      </c>
      <c r="K157" s="5">
        <f t="shared" si="8"/>
        <v>47.2</v>
      </c>
      <c r="L157" s="5">
        <v>31.2730034</v>
      </c>
      <c r="M157" s="5">
        <v>21.15863263</v>
      </c>
      <c r="N157" s="5">
        <v>0.3535095024</v>
      </c>
      <c r="O157" s="5">
        <v>32.7182589</v>
      </c>
      <c r="P157" s="5">
        <v>38.62690254</v>
      </c>
      <c r="Q157" s="5">
        <v>28.3404457</v>
      </c>
      <c r="R157" s="5">
        <v>0.3143928626</v>
      </c>
      <c r="S157" s="5">
        <v>80.08191854</v>
      </c>
      <c r="T157" s="5">
        <v>14.60004919</v>
      </c>
      <c r="U157" s="5">
        <v>4.875836487</v>
      </c>
      <c r="V157" s="5">
        <v>0.4421957805</v>
      </c>
      <c r="W157" s="7">
        <f t="shared" si="7"/>
        <v>22</v>
      </c>
    </row>
    <row r="158">
      <c r="A158" s="5" t="s">
        <v>228</v>
      </c>
      <c r="B158" s="5" t="s">
        <v>89</v>
      </c>
      <c r="C158" s="5">
        <v>21413.25</v>
      </c>
      <c r="D158" s="5">
        <f t="shared" si="1"/>
        <v>22</v>
      </c>
      <c r="E158" s="5">
        <v>18.71299934</v>
      </c>
      <c r="F158" s="5">
        <f t="shared" si="2"/>
        <v>19</v>
      </c>
      <c r="G158" s="5">
        <f t="shared" si="3"/>
        <v>4007.061331</v>
      </c>
      <c r="H158" s="5">
        <f t="shared" si="4"/>
        <v>81.28700066</v>
      </c>
      <c r="I158" s="5">
        <f t="shared" si="5"/>
        <v>81</v>
      </c>
      <c r="J158" s="5">
        <v>92.22757937</v>
      </c>
      <c r="K158" s="5">
        <f t="shared" si="8"/>
        <v>92.2</v>
      </c>
      <c r="L158" s="5">
        <v>0.5954581495</v>
      </c>
      <c r="M158" s="5">
        <v>5.348927064</v>
      </c>
      <c r="N158" s="5">
        <v>1.82803542</v>
      </c>
      <c r="O158" s="5">
        <v>90.5374357</v>
      </c>
      <c r="P158" s="5">
        <v>0.7032099038</v>
      </c>
      <c r="Q158" s="5">
        <v>6.510488612</v>
      </c>
      <c r="R158" s="5">
        <v>2.248865782</v>
      </c>
      <c r="S158" s="5">
        <v>99.56938019</v>
      </c>
      <c r="T158" s="5">
        <v>0.1273977901</v>
      </c>
      <c r="U158" s="5">
        <v>0.3032220202</v>
      </c>
      <c r="V158" s="5">
        <v>0.0</v>
      </c>
      <c r="W158" s="7">
        <f t="shared" si="7"/>
        <v>22</v>
      </c>
    </row>
    <row r="159">
      <c r="A159" s="5" t="s">
        <v>229</v>
      </c>
      <c r="B159" s="5" t="s">
        <v>126</v>
      </c>
      <c r="C159" s="5">
        <v>24206.63672</v>
      </c>
      <c r="D159" s="5">
        <f t="shared" si="1"/>
        <v>25</v>
      </c>
      <c r="E159" s="5">
        <v>16.62599945</v>
      </c>
      <c r="F159" s="5">
        <f t="shared" si="2"/>
        <v>17</v>
      </c>
      <c r="G159" s="5">
        <f t="shared" si="3"/>
        <v>4024.595288</v>
      </c>
      <c r="H159" s="5">
        <f t="shared" si="4"/>
        <v>83.37400055</v>
      </c>
      <c r="I159" s="5">
        <f t="shared" si="5"/>
        <v>83</v>
      </c>
      <c r="J159" s="5">
        <v>46.91179747</v>
      </c>
      <c r="K159" s="5">
        <f t="shared" si="8"/>
        <v>46.9</v>
      </c>
      <c r="L159" s="5">
        <v>21.6538987</v>
      </c>
      <c r="M159" s="5">
        <v>27.02751244</v>
      </c>
      <c r="N159" s="5">
        <v>4.406791392</v>
      </c>
      <c r="O159" s="5">
        <v>39.15415932</v>
      </c>
      <c r="P159" s="5">
        <v>23.98774039</v>
      </c>
      <c r="Q159" s="5">
        <v>31.99150648</v>
      </c>
      <c r="R159" s="5">
        <v>4.866593813</v>
      </c>
      <c r="S159" s="5">
        <v>85.81383976</v>
      </c>
      <c r="T159" s="5">
        <v>9.950440829</v>
      </c>
      <c r="U159" s="5">
        <v>2.13468778</v>
      </c>
      <c r="V159" s="5">
        <v>2.101031634</v>
      </c>
      <c r="W159" s="7">
        <f t="shared" si="7"/>
        <v>22</v>
      </c>
    </row>
    <row r="160">
      <c r="A160" s="5" t="s">
        <v>230</v>
      </c>
      <c r="B160" s="5" t="s">
        <v>43</v>
      </c>
      <c r="C160" s="5">
        <v>25499.88086</v>
      </c>
      <c r="D160" s="5">
        <f t="shared" si="1"/>
        <v>26</v>
      </c>
      <c r="E160" s="5">
        <v>86.24099731</v>
      </c>
      <c r="F160" s="5">
        <f t="shared" si="2"/>
        <v>86</v>
      </c>
      <c r="G160" s="5">
        <f t="shared" si="3"/>
        <v>21991.35157</v>
      </c>
      <c r="H160" s="5">
        <f t="shared" si="4"/>
        <v>13.75900269</v>
      </c>
      <c r="I160" s="5">
        <f t="shared" si="5"/>
        <v>14</v>
      </c>
      <c r="J160" s="5">
        <v>99.96981182</v>
      </c>
      <c r="K160" s="5">
        <f t="shared" si="8"/>
        <v>100</v>
      </c>
      <c r="L160" s="5">
        <v>0.0</v>
      </c>
      <c r="M160" s="5">
        <v>0.03018817873</v>
      </c>
      <c r="N160" s="5">
        <v>0.0</v>
      </c>
      <c r="O160" s="5">
        <v>100.0</v>
      </c>
      <c r="P160" s="5">
        <v>0.0</v>
      </c>
      <c r="Q160" s="5">
        <v>0.0</v>
      </c>
      <c r="R160" s="5">
        <v>0.0</v>
      </c>
      <c r="S160" s="5">
        <v>99.965</v>
      </c>
      <c r="T160" s="5">
        <v>0.0</v>
      </c>
      <c r="U160" s="5">
        <v>0.035</v>
      </c>
      <c r="V160" s="5">
        <v>0.0</v>
      </c>
      <c r="W160" s="7">
        <f t="shared" si="7"/>
        <v>22</v>
      </c>
    </row>
    <row r="161">
      <c r="A161" s="5" t="s">
        <v>231</v>
      </c>
      <c r="B161" s="5" t="s">
        <v>126</v>
      </c>
      <c r="C161" s="5">
        <v>25778.81445</v>
      </c>
      <c r="D161" s="5">
        <f t="shared" si="1"/>
        <v>26</v>
      </c>
      <c r="E161" s="5">
        <v>62.38100052</v>
      </c>
      <c r="F161" s="5">
        <f t="shared" si="2"/>
        <v>62</v>
      </c>
      <c r="G161" s="5">
        <f t="shared" si="3"/>
        <v>16081.08238</v>
      </c>
      <c r="H161" s="5">
        <f t="shared" si="4"/>
        <v>37.61899948</v>
      </c>
      <c r="I161" s="5">
        <f t="shared" si="5"/>
        <v>38</v>
      </c>
      <c r="J161" s="5">
        <v>93.84384303</v>
      </c>
      <c r="K161" s="5">
        <f t="shared" si="8"/>
        <v>93.8</v>
      </c>
      <c r="L161" s="5">
        <v>0.6831311872</v>
      </c>
      <c r="M161" s="5">
        <v>5.20969278</v>
      </c>
      <c r="N161" s="5">
        <v>0.2633330058</v>
      </c>
      <c r="O161" s="5">
        <v>88.75362488</v>
      </c>
      <c r="P161" s="5">
        <v>0.3564402606</v>
      </c>
      <c r="Q161" s="5">
        <v>10.18993486</v>
      </c>
      <c r="R161" s="5">
        <v>0.7</v>
      </c>
      <c r="S161" s="5">
        <v>96.91351044</v>
      </c>
      <c r="T161" s="5">
        <v>0.8801428799</v>
      </c>
      <c r="U161" s="5">
        <v>2.206346677</v>
      </c>
      <c r="V161" s="5">
        <v>0.0</v>
      </c>
      <c r="W161" s="7">
        <f t="shared" si="7"/>
        <v>22</v>
      </c>
    </row>
    <row r="162">
      <c r="A162" s="5" t="s">
        <v>232</v>
      </c>
      <c r="B162" s="5" t="s">
        <v>89</v>
      </c>
      <c r="C162" s="5">
        <v>26545.86328</v>
      </c>
      <c r="D162" s="5">
        <f t="shared" si="1"/>
        <v>27</v>
      </c>
      <c r="E162" s="5">
        <v>57.56000519</v>
      </c>
      <c r="F162" s="5">
        <f t="shared" si="2"/>
        <v>58</v>
      </c>
      <c r="G162" s="5">
        <f t="shared" si="3"/>
        <v>15279.80028</v>
      </c>
      <c r="H162" s="5">
        <f t="shared" si="4"/>
        <v>42.43999481</v>
      </c>
      <c r="I162" s="5">
        <f t="shared" si="5"/>
        <v>42</v>
      </c>
      <c r="J162" s="5">
        <v>65.72041818</v>
      </c>
      <c r="K162" s="5">
        <f t="shared" si="8"/>
        <v>65.7</v>
      </c>
      <c r="L162" s="5">
        <v>12.87474863</v>
      </c>
      <c r="M162" s="5">
        <v>15.00100626</v>
      </c>
      <c r="N162" s="5">
        <v>6.403826927</v>
      </c>
      <c r="O162" s="5">
        <v>43.52758112</v>
      </c>
      <c r="P162" s="5">
        <v>12.67259943</v>
      </c>
      <c r="Q162" s="5">
        <v>30.12380645</v>
      </c>
      <c r="R162" s="5">
        <v>13.676013</v>
      </c>
      <c r="S162" s="5">
        <v>82.08358486</v>
      </c>
      <c r="T162" s="5">
        <v>13.02379677</v>
      </c>
      <c r="U162" s="5">
        <v>3.850701351</v>
      </c>
      <c r="V162" s="5">
        <v>1.041917019</v>
      </c>
      <c r="W162" s="7">
        <f t="shared" si="7"/>
        <v>22</v>
      </c>
    </row>
    <row r="163">
      <c r="A163" s="5" t="s">
        <v>233</v>
      </c>
      <c r="B163" s="5" t="s">
        <v>89</v>
      </c>
      <c r="C163" s="5">
        <v>26378.27539</v>
      </c>
      <c r="D163" s="5">
        <f t="shared" si="1"/>
        <v>27</v>
      </c>
      <c r="E163" s="5">
        <v>51.70599747</v>
      </c>
      <c r="F163" s="5">
        <f t="shared" si="2"/>
        <v>52</v>
      </c>
      <c r="G163" s="5">
        <f t="shared" si="3"/>
        <v>13639.15041</v>
      </c>
      <c r="H163" s="5">
        <f t="shared" si="4"/>
        <v>48.29400253</v>
      </c>
      <c r="I163" s="5">
        <f t="shared" si="5"/>
        <v>48</v>
      </c>
      <c r="J163" s="5">
        <v>70.90907039</v>
      </c>
      <c r="K163" s="5">
        <f t="shared" si="8"/>
        <v>70.9</v>
      </c>
      <c r="L163" s="5">
        <v>8.935421702</v>
      </c>
      <c r="M163" s="5">
        <v>14.19244161</v>
      </c>
      <c r="N163" s="5">
        <v>5.963066293</v>
      </c>
      <c r="O163" s="5">
        <v>55.72244686</v>
      </c>
      <c r="P163" s="5">
        <v>13.34316829</v>
      </c>
      <c r="Q163" s="5">
        <v>23.17527956</v>
      </c>
      <c r="R163" s="5">
        <v>7.759105289</v>
      </c>
      <c r="S163" s="5">
        <v>85.09355329</v>
      </c>
      <c r="T163" s="5">
        <v>4.818535156</v>
      </c>
      <c r="U163" s="5">
        <v>5.80236656</v>
      </c>
      <c r="V163" s="5">
        <v>4.285544994</v>
      </c>
      <c r="W163" s="7">
        <f t="shared" si="7"/>
        <v>22</v>
      </c>
    </row>
    <row r="164">
      <c r="A164" s="5" t="s">
        <v>234</v>
      </c>
      <c r="B164" s="5" t="s">
        <v>126</v>
      </c>
      <c r="C164" s="5">
        <v>27691.01953</v>
      </c>
      <c r="D164" s="5">
        <f t="shared" si="1"/>
        <v>28</v>
      </c>
      <c r="E164" s="5">
        <v>38.5340004</v>
      </c>
      <c r="F164" s="5">
        <f t="shared" si="2"/>
        <v>39</v>
      </c>
      <c r="G164" s="5">
        <f t="shared" si="3"/>
        <v>10670.45758</v>
      </c>
      <c r="H164" s="5">
        <f t="shared" si="4"/>
        <v>61.4659996</v>
      </c>
      <c r="I164" s="5">
        <f t="shared" si="5"/>
        <v>61</v>
      </c>
      <c r="J164" s="5">
        <v>53.38588491</v>
      </c>
      <c r="K164" s="5">
        <f t="shared" si="8"/>
        <v>53.4</v>
      </c>
      <c r="L164" s="5">
        <v>2.71797298</v>
      </c>
      <c r="M164" s="5">
        <v>32.31145967</v>
      </c>
      <c r="N164" s="5">
        <v>11.58468244</v>
      </c>
      <c r="O164" s="5">
        <v>36.40642028</v>
      </c>
      <c r="P164" s="5">
        <v>1.601776163</v>
      </c>
      <c r="Q164" s="5">
        <v>43.95389345</v>
      </c>
      <c r="R164" s="5">
        <v>18.03791011</v>
      </c>
      <c r="S164" s="5">
        <v>80.47000694</v>
      </c>
      <c r="T164" s="5">
        <v>4.498430298</v>
      </c>
      <c r="U164" s="5">
        <v>13.74049434</v>
      </c>
      <c r="V164" s="5">
        <v>1.291068417</v>
      </c>
      <c r="W164" s="7">
        <f t="shared" si="7"/>
        <v>22</v>
      </c>
    </row>
    <row r="165">
      <c r="A165" s="5" t="s">
        <v>235</v>
      </c>
      <c r="B165" s="5" t="s">
        <v>25</v>
      </c>
      <c r="C165" s="5">
        <v>28435.94336</v>
      </c>
      <c r="D165" s="5">
        <f t="shared" si="1"/>
        <v>29</v>
      </c>
      <c r="E165" s="5">
        <v>88.27899933</v>
      </c>
      <c r="F165" s="5">
        <f t="shared" si="2"/>
        <v>88</v>
      </c>
      <c r="G165" s="5">
        <f t="shared" si="3"/>
        <v>25102.96625</v>
      </c>
      <c r="H165" s="5">
        <f t="shared" si="4"/>
        <v>11.72100067</v>
      </c>
      <c r="I165" s="5">
        <f t="shared" si="5"/>
        <v>12</v>
      </c>
      <c r="J165" s="5">
        <v>93.68580071</v>
      </c>
      <c r="K165" s="5">
        <f t="shared" si="8"/>
        <v>93.7</v>
      </c>
      <c r="L165" s="5">
        <v>0.4707829181</v>
      </c>
      <c r="M165" s="5">
        <v>5.843416373</v>
      </c>
      <c r="N165" s="5" t="s">
        <v>25</v>
      </c>
      <c r="O165" s="5" t="s">
        <v>25</v>
      </c>
      <c r="P165" s="5" t="s">
        <v>25</v>
      </c>
      <c r="Q165" s="5" t="s">
        <v>25</v>
      </c>
      <c r="R165" s="5" t="s">
        <v>25</v>
      </c>
      <c r="S165" s="5" t="s">
        <v>25</v>
      </c>
      <c r="T165" s="5" t="s">
        <v>25</v>
      </c>
      <c r="U165" s="5" t="s">
        <v>25</v>
      </c>
      <c r="V165" s="5" t="s">
        <v>25</v>
      </c>
      <c r="W165" s="7">
        <f t="shared" si="7"/>
        <v>22</v>
      </c>
    </row>
    <row r="166">
      <c r="A166" s="5" t="s">
        <v>236</v>
      </c>
      <c r="B166" s="5" t="s">
        <v>126</v>
      </c>
      <c r="C166" s="5">
        <v>29825.96875</v>
      </c>
      <c r="D166" s="5">
        <f t="shared" si="1"/>
        <v>30</v>
      </c>
      <c r="E166" s="5">
        <v>37.90799713</v>
      </c>
      <c r="F166" s="5">
        <f t="shared" si="2"/>
        <v>38</v>
      </c>
      <c r="G166" s="5">
        <f t="shared" si="3"/>
        <v>11306.42738</v>
      </c>
      <c r="H166" s="5">
        <f t="shared" si="4"/>
        <v>62.09200287</v>
      </c>
      <c r="I166" s="5">
        <f t="shared" si="5"/>
        <v>62</v>
      </c>
      <c r="J166" s="5">
        <v>60.66356984</v>
      </c>
      <c r="K166" s="5">
        <f t="shared" si="8"/>
        <v>60.7</v>
      </c>
      <c r="L166" s="5">
        <v>28.9627418</v>
      </c>
      <c r="M166" s="5">
        <v>7.77785276</v>
      </c>
      <c r="N166" s="5">
        <v>2.595835594</v>
      </c>
      <c r="O166" s="5">
        <v>50.68133437</v>
      </c>
      <c r="P166" s="5">
        <v>33.53021373</v>
      </c>
      <c r="Q166" s="5">
        <v>11.60782393</v>
      </c>
      <c r="R166" s="5">
        <v>4.180627978</v>
      </c>
      <c r="S166" s="5">
        <v>77.01412934</v>
      </c>
      <c r="T166" s="5">
        <v>21.48137937</v>
      </c>
      <c r="U166" s="5">
        <v>1.504491286</v>
      </c>
      <c r="V166" s="5">
        <v>0.0</v>
      </c>
      <c r="W166" s="7">
        <f t="shared" si="7"/>
        <v>22</v>
      </c>
    </row>
    <row r="167">
      <c r="A167" s="5" t="s">
        <v>237</v>
      </c>
      <c r="B167" s="5" t="s">
        <v>89</v>
      </c>
      <c r="C167" s="5">
        <v>29136.80859</v>
      </c>
      <c r="D167" s="5">
        <f t="shared" si="1"/>
        <v>30</v>
      </c>
      <c r="E167" s="5">
        <v>20.57600021</v>
      </c>
      <c r="F167" s="5">
        <f t="shared" si="2"/>
        <v>21</v>
      </c>
      <c r="G167" s="5">
        <f t="shared" si="3"/>
        <v>5995.189797</v>
      </c>
      <c r="H167" s="5">
        <f t="shared" si="4"/>
        <v>79.42399979</v>
      </c>
      <c r="I167" s="5">
        <f t="shared" si="5"/>
        <v>79</v>
      </c>
      <c r="J167" s="5">
        <v>90.07454179</v>
      </c>
      <c r="K167" s="5">
        <f t="shared" si="8"/>
        <v>90.1</v>
      </c>
      <c r="L167" s="5">
        <v>3.979825725</v>
      </c>
      <c r="M167" s="5">
        <v>4.699081176</v>
      </c>
      <c r="N167" s="5">
        <v>1.246551314</v>
      </c>
      <c r="O167" s="5">
        <v>90.20327165</v>
      </c>
      <c r="P167" s="5">
        <v>4.207348246</v>
      </c>
      <c r="Q167" s="5">
        <v>4.269023951</v>
      </c>
      <c r="R167" s="5">
        <v>1.320356149</v>
      </c>
      <c r="S167" s="5">
        <v>89.57763316</v>
      </c>
      <c r="T167" s="5">
        <v>3.101581411</v>
      </c>
      <c r="U167" s="5">
        <v>6.359123168</v>
      </c>
      <c r="V167" s="5">
        <v>0.9616622585</v>
      </c>
      <c r="W167" s="7">
        <f t="shared" si="7"/>
        <v>22</v>
      </c>
    </row>
    <row r="168">
      <c r="A168" s="5" t="s">
        <v>238</v>
      </c>
      <c r="B168" s="5" t="s">
        <v>89</v>
      </c>
      <c r="C168" s="5">
        <v>31072.94531</v>
      </c>
      <c r="D168" s="5">
        <f t="shared" si="1"/>
        <v>32</v>
      </c>
      <c r="E168" s="5">
        <v>57.34899902</v>
      </c>
      <c r="F168" s="5">
        <f t="shared" si="2"/>
        <v>57</v>
      </c>
      <c r="G168" s="5">
        <f t="shared" si="3"/>
        <v>17820.0231</v>
      </c>
      <c r="H168" s="5">
        <f t="shared" si="4"/>
        <v>42.65100098</v>
      </c>
      <c r="I168" s="5">
        <f t="shared" si="5"/>
        <v>43</v>
      </c>
      <c r="J168" s="5">
        <v>85.79099665</v>
      </c>
      <c r="K168" s="5">
        <f t="shared" si="8"/>
        <v>85.8</v>
      </c>
      <c r="L168" s="5">
        <v>6.586062113</v>
      </c>
      <c r="M168" s="5">
        <v>2.812216176</v>
      </c>
      <c r="N168" s="5">
        <v>4.810725058</v>
      </c>
      <c r="O168" s="5">
        <v>71.89275005</v>
      </c>
      <c r="P168" s="5">
        <v>11.93454827</v>
      </c>
      <c r="Q168" s="5">
        <v>4.999356483</v>
      </c>
      <c r="R168" s="5">
        <v>11.17334519</v>
      </c>
      <c r="S168" s="5">
        <v>96.12725952</v>
      </c>
      <c r="T168" s="5">
        <v>2.608342455</v>
      </c>
      <c r="U168" s="5">
        <v>1.185613803</v>
      </c>
      <c r="V168" s="5">
        <v>0.07878421819</v>
      </c>
      <c r="W168" s="7">
        <f t="shared" si="7"/>
        <v>22</v>
      </c>
    </row>
    <row r="169">
      <c r="A169" s="5" t="s">
        <v>239</v>
      </c>
      <c r="B169" s="5" t="s">
        <v>126</v>
      </c>
      <c r="C169" s="5">
        <v>31255.43555</v>
      </c>
      <c r="D169" s="5">
        <f t="shared" si="1"/>
        <v>32</v>
      </c>
      <c r="E169" s="5">
        <v>37.0739975</v>
      </c>
      <c r="F169" s="5">
        <f t="shared" si="2"/>
        <v>37</v>
      </c>
      <c r="G169" s="5">
        <f t="shared" si="3"/>
        <v>11587.63939</v>
      </c>
      <c r="H169" s="5">
        <f t="shared" si="4"/>
        <v>62.9260025</v>
      </c>
      <c r="I169" s="5">
        <f t="shared" si="5"/>
        <v>63</v>
      </c>
      <c r="J169" s="5">
        <v>63.36942563</v>
      </c>
      <c r="K169" s="5">
        <f t="shared" si="8"/>
        <v>63.4</v>
      </c>
      <c r="L169" s="5">
        <v>9.975784507</v>
      </c>
      <c r="M169" s="5">
        <v>16.72614511</v>
      </c>
      <c r="N169" s="5">
        <v>9.928644759</v>
      </c>
      <c r="O169" s="5">
        <v>48.8666865</v>
      </c>
      <c r="P169" s="5">
        <v>12.64088359</v>
      </c>
      <c r="Q169" s="5">
        <v>23.6862564</v>
      </c>
      <c r="R169" s="5">
        <v>14.80617352</v>
      </c>
      <c r="S169" s="5">
        <v>87.98504792</v>
      </c>
      <c r="T169" s="5">
        <v>5.452291027</v>
      </c>
      <c r="U169" s="5">
        <v>4.912684644</v>
      </c>
      <c r="V169" s="5">
        <v>1.649976404</v>
      </c>
      <c r="W169" s="7">
        <f t="shared" si="7"/>
        <v>22</v>
      </c>
    </row>
    <row r="170">
      <c r="A170" s="5" t="s">
        <v>240</v>
      </c>
      <c r="B170" s="5" t="s">
        <v>79</v>
      </c>
      <c r="C170" s="5">
        <v>32971.84766</v>
      </c>
      <c r="D170" s="5">
        <f t="shared" si="1"/>
        <v>33</v>
      </c>
      <c r="E170" s="5">
        <v>78.2970047</v>
      </c>
      <c r="F170" s="5">
        <f t="shared" si="2"/>
        <v>78</v>
      </c>
      <c r="G170" s="5">
        <f t="shared" si="3"/>
        <v>25815.96911</v>
      </c>
      <c r="H170" s="5">
        <f t="shared" si="4"/>
        <v>21.7029953</v>
      </c>
      <c r="I170" s="5">
        <f t="shared" si="5"/>
        <v>22</v>
      </c>
      <c r="J170" s="5">
        <v>93.13936621</v>
      </c>
      <c r="K170" s="5">
        <f t="shared" si="8"/>
        <v>93.1</v>
      </c>
      <c r="L170" s="5">
        <v>0.8495593511</v>
      </c>
      <c r="M170" s="5">
        <v>4.150468349</v>
      </c>
      <c r="N170" s="5">
        <v>1.860606087</v>
      </c>
      <c r="O170" s="5">
        <v>80.79943849</v>
      </c>
      <c r="P170" s="5">
        <v>1.596943771</v>
      </c>
      <c r="Q170" s="5">
        <v>9.612691163</v>
      </c>
      <c r="R170" s="5">
        <v>7.990926578</v>
      </c>
      <c r="S170" s="5">
        <v>96.55984408</v>
      </c>
      <c r="T170" s="5">
        <v>0.6423932356</v>
      </c>
      <c r="U170" s="5">
        <v>2.636408693</v>
      </c>
      <c r="V170" s="5">
        <v>0.1613539953</v>
      </c>
      <c r="W170" s="7">
        <f t="shared" si="7"/>
        <v>22</v>
      </c>
    </row>
    <row r="171">
      <c r="A171" s="5" t="s">
        <v>241</v>
      </c>
      <c r="B171" s="5" t="s">
        <v>79</v>
      </c>
      <c r="C171" s="5">
        <v>32365.99805</v>
      </c>
      <c r="D171" s="5">
        <f t="shared" si="1"/>
        <v>33</v>
      </c>
      <c r="E171" s="5">
        <v>77.15999603</v>
      </c>
      <c r="F171" s="5">
        <f t="shared" si="2"/>
        <v>77</v>
      </c>
      <c r="G171" s="5">
        <f t="shared" si="3"/>
        <v>24973.60281</v>
      </c>
      <c r="H171" s="5">
        <f t="shared" si="4"/>
        <v>22.84000397</v>
      </c>
      <c r="I171" s="5">
        <f t="shared" si="5"/>
        <v>23</v>
      </c>
      <c r="J171" s="5">
        <v>97.09990707</v>
      </c>
      <c r="K171" s="5">
        <f t="shared" si="8"/>
        <v>97.1</v>
      </c>
      <c r="L171" s="5">
        <v>0.3545396865</v>
      </c>
      <c r="M171" s="5">
        <v>2.545553241</v>
      </c>
      <c r="N171" s="5" t="s">
        <v>25</v>
      </c>
      <c r="O171" s="5">
        <v>90.19744812</v>
      </c>
      <c r="P171" s="5">
        <v>0.5444513971</v>
      </c>
      <c r="Q171" s="5">
        <v>9.258100478</v>
      </c>
      <c r="R171" s="5" t="s">
        <v>25</v>
      </c>
      <c r="S171" s="5">
        <v>99.14309591</v>
      </c>
      <c r="T171" s="5">
        <v>0.2983242605</v>
      </c>
      <c r="U171" s="5">
        <v>0.4685798319</v>
      </c>
      <c r="V171" s="5">
        <v>0.09</v>
      </c>
      <c r="W171" s="7">
        <f t="shared" si="7"/>
        <v>22</v>
      </c>
    </row>
    <row r="172">
      <c r="A172" s="5" t="s">
        <v>242</v>
      </c>
      <c r="B172" s="5" t="s">
        <v>89</v>
      </c>
      <c r="C172" s="5">
        <v>32866.26953</v>
      </c>
      <c r="D172" s="5">
        <f t="shared" si="1"/>
        <v>33</v>
      </c>
      <c r="E172" s="5">
        <v>66.82499695</v>
      </c>
      <c r="F172" s="5">
        <f t="shared" si="2"/>
        <v>67</v>
      </c>
      <c r="G172" s="5">
        <f t="shared" si="3"/>
        <v>21962.88361</v>
      </c>
      <c r="H172" s="5">
        <f t="shared" si="4"/>
        <v>33.17500305</v>
      </c>
      <c r="I172" s="5">
        <f t="shared" si="5"/>
        <v>33</v>
      </c>
      <c r="J172" s="5">
        <v>57.16773762</v>
      </c>
      <c r="K172" s="5">
        <f t="shared" si="8"/>
        <v>57.2</v>
      </c>
      <c r="L172" s="5">
        <v>9.287349919</v>
      </c>
      <c r="M172" s="5">
        <v>19.45082534</v>
      </c>
      <c r="N172" s="5">
        <v>14.09408712</v>
      </c>
      <c r="O172" s="5">
        <v>27.80822661</v>
      </c>
      <c r="P172" s="5">
        <v>8.740488389</v>
      </c>
      <c r="Q172" s="5">
        <v>22.93315258</v>
      </c>
      <c r="R172" s="5">
        <v>40.51813242</v>
      </c>
      <c r="S172" s="5">
        <v>71.74314862</v>
      </c>
      <c r="T172" s="5">
        <v>9.558837489</v>
      </c>
      <c r="U172" s="5">
        <v>17.72203473</v>
      </c>
      <c r="V172" s="5">
        <v>0.9759791629</v>
      </c>
      <c r="W172" s="7">
        <f t="shared" si="7"/>
        <v>22</v>
      </c>
    </row>
    <row r="173">
      <c r="A173" s="5" t="s">
        <v>243</v>
      </c>
      <c r="B173" s="5" t="s">
        <v>89</v>
      </c>
      <c r="C173" s="5">
        <v>33469.19922</v>
      </c>
      <c r="D173" s="5">
        <f t="shared" si="1"/>
        <v>34</v>
      </c>
      <c r="E173" s="5">
        <v>50.41599655</v>
      </c>
      <c r="F173" s="5">
        <f t="shared" si="2"/>
        <v>50</v>
      </c>
      <c r="G173" s="5">
        <f t="shared" si="3"/>
        <v>16873.83032</v>
      </c>
      <c r="H173" s="5">
        <f t="shared" si="4"/>
        <v>49.58400345</v>
      </c>
      <c r="I173" s="5">
        <f t="shared" si="5"/>
        <v>50</v>
      </c>
      <c r="J173" s="5">
        <v>97.82878485</v>
      </c>
      <c r="K173" s="5">
        <f t="shared" si="8"/>
        <v>97.8</v>
      </c>
      <c r="L173" s="5">
        <v>0.0</v>
      </c>
      <c r="M173" s="5">
        <v>0.22384422</v>
      </c>
      <c r="N173" s="5">
        <v>1.947370925</v>
      </c>
      <c r="O173" s="5">
        <v>96.07258236</v>
      </c>
      <c r="P173" s="5">
        <v>0.0</v>
      </c>
      <c r="Q173" s="5">
        <v>0.0</v>
      </c>
      <c r="R173" s="5">
        <v>3.927417637</v>
      </c>
      <c r="S173" s="5">
        <v>99.55600556</v>
      </c>
      <c r="T173" s="5">
        <v>0.0</v>
      </c>
      <c r="U173" s="5">
        <v>0.4439944434</v>
      </c>
      <c r="V173" s="5">
        <v>0.0</v>
      </c>
      <c r="W173" s="7">
        <f t="shared" si="7"/>
        <v>22</v>
      </c>
    </row>
    <row r="174">
      <c r="A174" s="5" t="s">
        <v>244</v>
      </c>
      <c r="B174" s="5" t="s">
        <v>43</v>
      </c>
      <c r="C174" s="5">
        <v>34813.86719</v>
      </c>
      <c r="D174" s="5">
        <f t="shared" si="1"/>
        <v>35</v>
      </c>
      <c r="E174" s="5">
        <v>84.28700256</v>
      </c>
      <c r="F174" s="5">
        <f t="shared" si="2"/>
        <v>84</v>
      </c>
      <c r="G174" s="5">
        <f t="shared" si="3"/>
        <v>29343.56513</v>
      </c>
      <c r="H174" s="5">
        <f t="shared" si="4"/>
        <v>15.71299744</v>
      </c>
      <c r="I174" s="5">
        <f t="shared" si="5"/>
        <v>16</v>
      </c>
      <c r="J174" s="5">
        <v>100.0</v>
      </c>
      <c r="K174" s="5">
        <f t="shared" si="8"/>
        <v>100</v>
      </c>
      <c r="L174" s="5">
        <v>0.0</v>
      </c>
      <c r="M174" s="5">
        <v>0.0</v>
      </c>
      <c r="N174" s="5">
        <v>0.0</v>
      </c>
      <c r="O174" s="5" t="s">
        <v>25</v>
      </c>
      <c r="P174" s="5" t="s">
        <v>25</v>
      </c>
      <c r="Q174" s="5" t="s">
        <v>25</v>
      </c>
      <c r="R174" s="5" t="s">
        <v>25</v>
      </c>
      <c r="S174" s="5" t="s">
        <v>25</v>
      </c>
      <c r="T174" s="5" t="s">
        <v>25</v>
      </c>
      <c r="U174" s="5" t="s">
        <v>25</v>
      </c>
      <c r="V174" s="5" t="s">
        <v>25</v>
      </c>
      <c r="W174" s="7">
        <f t="shared" si="7"/>
        <v>22</v>
      </c>
    </row>
    <row r="175">
      <c r="A175" s="5" t="s">
        <v>245</v>
      </c>
      <c r="B175" s="5" t="s">
        <v>89</v>
      </c>
      <c r="C175" s="5">
        <v>36910.55859</v>
      </c>
      <c r="D175" s="5">
        <f t="shared" si="1"/>
        <v>37</v>
      </c>
      <c r="E175" s="5">
        <v>63.53199768</v>
      </c>
      <c r="F175" s="5">
        <f t="shared" si="2"/>
        <v>64</v>
      </c>
      <c r="G175" s="5">
        <f t="shared" si="3"/>
        <v>23450.01523</v>
      </c>
      <c r="H175" s="5">
        <f t="shared" si="4"/>
        <v>36.46800232</v>
      </c>
      <c r="I175" s="5">
        <f t="shared" si="5"/>
        <v>36</v>
      </c>
      <c r="J175" s="5">
        <v>90.40234468</v>
      </c>
      <c r="K175" s="5">
        <f t="shared" si="8"/>
        <v>90.4</v>
      </c>
      <c r="L175" s="5">
        <v>5.263549601</v>
      </c>
      <c r="M175" s="5">
        <v>2.8776725</v>
      </c>
      <c r="N175" s="5">
        <v>1.456433219</v>
      </c>
      <c r="O175" s="5">
        <v>77.34612896</v>
      </c>
      <c r="P175" s="5">
        <v>12.03707816</v>
      </c>
      <c r="Q175" s="5">
        <v>6.623063373</v>
      </c>
      <c r="R175" s="5">
        <v>3.993729502</v>
      </c>
      <c r="S175" s="5">
        <v>97.89674601</v>
      </c>
      <c r="T175" s="5">
        <v>1.375477117</v>
      </c>
      <c r="U175" s="5">
        <v>0.7277768759</v>
      </c>
      <c r="V175" s="5">
        <v>0.0</v>
      </c>
      <c r="W175" s="7">
        <f t="shared" si="7"/>
        <v>22</v>
      </c>
    </row>
    <row r="176">
      <c r="A176" s="5" t="s">
        <v>246</v>
      </c>
      <c r="B176" s="5" t="s">
        <v>43</v>
      </c>
      <c r="C176" s="5">
        <v>37742.15625</v>
      </c>
      <c r="D176" s="5">
        <f t="shared" si="1"/>
        <v>38</v>
      </c>
      <c r="E176" s="5">
        <v>81.56200409</v>
      </c>
      <c r="F176" s="5">
        <f t="shared" si="2"/>
        <v>82</v>
      </c>
      <c r="G176" s="5">
        <f t="shared" si="3"/>
        <v>30783.25902</v>
      </c>
      <c r="H176" s="5">
        <f t="shared" si="4"/>
        <v>18.43799591</v>
      </c>
      <c r="I176" s="5">
        <f t="shared" si="5"/>
        <v>18</v>
      </c>
      <c r="J176" s="5">
        <v>99.22181066</v>
      </c>
      <c r="K176" s="5">
        <f t="shared" si="8"/>
        <v>99.2</v>
      </c>
      <c r="L176" s="5">
        <v>0.0</v>
      </c>
      <c r="M176" s="5">
        <v>0.7781893369</v>
      </c>
      <c r="N176" s="5">
        <v>0.0</v>
      </c>
      <c r="O176" s="5">
        <v>99.0604959</v>
      </c>
      <c r="P176" s="5">
        <v>0.0</v>
      </c>
      <c r="Q176" s="5">
        <v>0.9395041006</v>
      </c>
      <c r="R176" s="5">
        <v>0.0</v>
      </c>
      <c r="S176" s="5">
        <v>99.25827766</v>
      </c>
      <c r="T176" s="5">
        <v>0.0</v>
      </c>
      <c r="U176" s="5">
        <v>0.7417223371</v>
      </c>
      <c r="V176" s="5">
        <v>0.0</v>
      </c>
      <c r="W176" s="7">
        <f t="shared" si="7"/>
        <v>22</v>
      </c>
    </row>
    <row r="177">
      <c r="A177" s="5" t="s">
        <v>247</v>
      </c>
      <c r="B177" s="5" t="s">
        <v>43</v>
      </c>
      <c r="C177" s="5">
        <v>37846.60547</v>
      </c>
      <c r="D177" s="5">
        <f t="shared" si="1"/>
        <v>38</v>
      </c>
      <c r="E177" s="5">
        <v>60.04300308</v>
      </c>
      <c r="F177" s="5">
        <f t="shared" si="2"/>
        <v>60</v>
      </c>
      <c r="G177" s="5">
        <f t="shared" si="3"/>
        <v>22724.23849</v>
      </c>
      <c r="H177" s="5">
        <f t="shared" si="4"/>
        <v>39.95699692</v>
      </c>
      <c r="I177" s="5">
        <f t="shared" si="5"/>
        <v>40</v>
      </c>
      <c r="J177" s="5">
        <v>99.96659155</v>
      </c>
      <c r="K177" s="5">
        <f t="shared" si="8"/>
        <v>100</v>
      </c>
      <c r="L177" s="5">
        <v>0.0</v>
      </c>
      <c r="M177" s="5">
        <v>0.03340844529</v>
      </c>
      <c r="N177" s="5">
        <v>0.0</v>
      </c>
      <c r="O177" s="5">
        <v>100.0</v>
      </c>
      <c r="P177" s="5">
        <v>0.0</v>
      </c>
      <c r="Q177" s="5">
        <v>0.0</v>
      </c>
      <c r="R177" s="5">
        <v>0.0</v>
      </c>
      <c r="S177" s="5">
        <v>99.94435484</v>
      </c>
      <c r="T177" s="5">
        <v>0.0</v>
      </c>
      <c r="U177" s="5">
        <v>0.05564516129</v>
      </c>
      <c r="V177" s="5">
        <v>0.0</v>
      </c>
      <c r="W177" s="7">
        <f t="shared" si="7"/>
        <v>22</v>
      </c>
    </row>
    <row r="178">
      <c r="A178" s="5" t="s">
        <v>248</v>
      </c>
      <c r="B178" s="5" t="s">
        <v>126</v>
      </c>
      <c r="C178" s="5">
        <v>38928.33984</v>
      </c>
      <c r="D178" s="5">
        <f t="shared" si="1"/>
        <v>39</v>
      </c>
      <c r="E178" s="5">
        <v>26.02599907</v>
      </c>
      <c r="F178" s="5">
        <f t="shared" si="2"/>
        <v>26</v>
      </c>
      <c r="G178" s="5">
        <f t="shared" si="3"/>
        <v>10131.48936</v>
      </c>
      <c r="H178" s="5">
        <f t="shared" si="4"/>
        <v>73.97400093</v>
      </c>
      <c r="I178" s="5">
        <f t="shared" si="5"/>
        <v>74</v>
      </c>
      <c r="J178" s="5">
        <v>75.09141325</v>
      </c>
      <c r="K178" s="5">
        <f t="shared" si="8"/>
        <v>75.1</v>
      </c>
      <c r="L178" s="5">
        <v>1.447541688</v>
      </c>
      <c r="M178" s="5">
        <v>14.56026288</v>
      </c>
      <c r="N178" s="5">
        <v>8.900782174</v>
      </c>
      <c r="O178" s="5">
        <v>66.32791521</v>
      </c>
      <c r="P178" s="5">
        <v>1.956824851</v>
      </c>
      <c r="Q178" s="5">
        <v>19.68294895</v>
      </c>
      <c r="R178" s="5">
        <v>12.03231098</v>
      </c>
      <c r="S178" s="5">
        <v>100.0</v>
      </c>
      <c r="T178" s="5">
        <v>0.0</v>
      </c>
      <c r="U178" s="5">
        <v>0.0</v>
      </c>
      <c r="V178" s="5">
        <v>0.0</v>
      </c>
      <c r="W178" s="7">
        <f t="shared" si="7"/>
        <v>22</v>
      </c>
    </row>
    <row r="179">
      <c r="A179" s="5" t="s">
        <v>249</v>
      </c>
      <c r="B179" s="5" t="s">
        <v>79</v>
      </c>
      <c r="C179" s="5">
        <v>40222.50391</v>
      </c>
      <c r="D179" s="5">
        <f t="shared" si="1"/>
        <v>41</v>
      </c>
      <c r="E179" s="5">
        <v>70.89299774</v>
      </c>
      <c r="F179" s="5">
        <f t="shared" si="2"/>
        <v>71</v>
      </c>
      <c r="G179" s="5">
        <f t="shared" si="3"/>
        <v>28514.93879</v>
      </c>
      <c r="H179" s="5">
        <f t="shared" si="4"/>
        <v>29.10700226</v>
      </c>
      <c r="I179" s="5">
        <f t="shared" si="5"/>
        <v>29</v>
      </c>
      <c r="J179" s="5">
        <v>98.35990325</v>
      </c>
      <c r="K179" s="5">
        <f t="shared" si="8"/>
        <v>98.4</v>
      </c>
      <c r="L179" s="5">
        <v>0.8921603495</v>
      </c>
      <c r="M179" s="5">
        <v>2.427900808E-6</v>
      </c>
      <c r="N179" s="5">
        <v>0.7479339713</v>
      </c>
      <c r="O179" s="5">
        <v>94.83114678</v>
      </c>
      <c r="P179" s="5">
        <v>2.599251339</v>
      </c>
      <c r="Q179" s="5">
        <v>0.0</v>
      </c>
      <c r="R179" s="5">
        <v>2.569601877</v>
      </c>
      <c r="S179" s="5">
        <v>99.80873103</v>
      </c>
      <c r="T179" s="5">
        <v>0.19126897</v>
      </c>
      <c r="U179" s="5">
        <v>0.0</v>
      </c>
      <c r="V179" s="5">
        <v>0.0</v>
      </c>
      <c r="W179" s="7">
        <f t="shared" si="7"/>
        <v>22</v>
      </c>
    </row>
    <row r="180">
      <c r="A180" s="5" t="s">
        <v>250</v>
      </c>
      <c r="B180" s="5" t="s">
        <v>89</v>
      </c>
      <c r="C180" s="5">
        <v>43851.04297</v>
      </c>
      <c r="D180" s="5">
        <f t="shared" si="1"/>
        <v>44</v>
      </c>
      <c r="E180" s="5">
        <v>73.73300171</v>
      </c>
      <c r="F180" s="5">
        <f t="shared" si="2"/>
        <v>74</v>
      </c>
      <c r="G180" s="5">
        <f t="shared" si="3"/>
        <v>32332.69026</v>
      </c>
      <c r="H180" s="5">
        <f t="shared" si="4"/>
        <v>26.26699829</v>
      </c>
      <c r="I180" s="5">
        <f t="shared" si="5"/>
        <v>26</v>
      </c>
      <c r="J180" s="5">
        <v>94.43732996</v>
      </c>
      <c r="K180" s="5">
        <f t="shared" si="8"/>
        <v>94.4</v>
      </c>
      <c r="L180" s="5">
        <v>4.985880842</v>
      </c>
      <c r="M180" s="5">
        <v>0.5318366638</v>
      </c>
      <c r="N180" s="5">
        <v>0.04495253272</v>
      </c>
      <c r="O180" s="5">
        <v>90.03753791</v>
      </c>
      <c r="P180" s="5">
        <v>8.79672214</v>
      </c>
      <c r="Q180" s="5">
        <v>0.9946030281</v>
      </c>
      <c r="R180" s="5">
        <v>0.1711369258</v>
      </c>
      <c r="S180" s="5">
        <v>96.00473586</v>
      </c>
      <c r="T180" s="5">
        <v>3.628288591</v>
      </c>
      <c r="U180" s="5">
        <v>0.3669755478</v>
      </c>
      <c r="V180" s="5">
        <v>0.0</v>
      </c>
      <c r="W180" s="7">
        <f t="shared" si="7"/>
        <v>22</v>
      </c>
    </row>
    <row r="181">
      <c r="A181" s="5" t="s">
        <v>251</v>
      </c>
      <c r="B181" s="5" t="s">
        <v>89</v>
      </c>
      <c r="C181" s="5">
        <v>43733.75781</v>
      </c>
      <c r="D181" s="5">
        <f t="shared" si="1"/>
        <v>44</v>
      </c>
      <c r="E181" s="5">
        <v>69.60800171</v>
      </c>
      <c r="F181" s="5">
        <f t="shared" si="2"/>
        <v>70</v>
      </c>
      <c r="G181" s="5">
        <f t="shared" si="3"/>
        <v>30442.19488</v>
      </c>
      <c r="H181" s="5">
        <f t="shared" si="4"/>
        <v>30.39199829</v>
      </c>
      <c r="I181" s="5">
        <f t="shared" si="5"/>
        <v>30</v>
      </c>
      <c r="J181" s="5">
        <v>93.92828195</v>
      </c>
      <c r="K181" s="5">
        <f t="shared" si="8"/>
        <v>93.9</v>
      </c>
      <c r="L181" s="5">
        <v>5.671978717</v>
      </c>
      <c r="M181" s="5">
        <v>0.07590450129</v>
      </c>
      <c r="N181" s="5">
        <v>0.323834836</v>
      </c>
      <c r="O181" s="5">
        <v>100.0</v>
      </c>
      <c r="P181" s="5">
        <v>0.0</v>
      </c>
      <c r="Q181" s="5">
        <v>0.0</v>
      </c>
      <c r="R181" s="5">
        <v>0.0</v>
      </c>
      <c r="S181" s="5">
        <v>91.27727011</v>
      </c>
      <c r="T181" s="5">
        <v>8.14845779</v>
      </c>
      <c r="U181" s="5">
        <v>0.1090456533</v>
      </c>
      <c r="V181" s="5">
        <v>0.4652264446</v>
      </c>
      <c r="W181" s="7">
        <f t="shared" si="7"/>
        <v>22</v>
      </c>
    </row>
    <row r="182">
      <c r="A182" s="5" t="s">
        <v>252</v>
      </c>
      <c r="B182" s="5" t="s">
        <v>126</v>
      </c>
      <c r="C182" s="5">
        <v>43849.26953</v>
      </c>
      <c r="D182" s="5">
        <f t="shared" si="1"/>
        <v>44</v>
      </c>
      <c r="E182" s="5">
        <v>35.25299835</v>
      </c>
      <c r="F182" s="5">
        <f t="shared" si="2"/>
        <v>35</v>
      </c>
      <c r="G182" s="5">
        <f t="shared" si="3"/>
        <v>15458.18226</v>
      </c>
      <c r="H182" s="5">
        <f t="shared" si="4"/>
        <v>64.74700165</v>
      </c>
      <c r="I182" s="5">
        <f t="shared" si="5"/>
        <v>65</v>
      </c>
      <c r="J182" s="5">
        <v>60.4486756</v>
      </c>
      <c r="K182" s="5">
        <f t="shared" si="8"/>
        <v>60.4</v>
      </c>
      <c r="L182" s="5">
        <v>26.67001975</v>
      </c>
      <c r="M182" s="5">
        <v>3.650217875</v>
      </c>
      <c r="N182" s="5">
        <v>9.231086774</v>
      </c>
      <c r="O182" s="5">
        <v>53.19902707</v>
      </c>
      <c r="P182" s="5">
        <v>27.45764451</v>
      </c>
      <c r="Q182" s="5">
        <v>5.637660008</v>
      </c>
      <c r="R182" s="5">
        <v>13.70566842</v>
      </c>
      <c r="S182" s="5">
        <v>73.76365956</v>
      </c>
      <c r="T182" s="5">
        <v>25.22343986</v>
      </c>
      <c r="U182" s="5">
        <v>0.0</v>
      </c>
      <c r="V182" s="5">
        <v>1.012900581</v>
      </c>
      <c r="W182" s="7">
        <f t="shared" si="7"/>
        <v>22</v>
      </c>
    </row>
    <row r="183">
      <c r="A183" s="5" t="s">
        <v>253</v>
      </c>
      <c r="B183" s="5" t="s">
        <v>79</v>
      </c>
      <c r="C183" s="5">
        <v>45195.77734</v>
      </c>
      <c r="D183" s="5">
        <f t="shared" si="1"/>
        <v>46</v>
      </c>
      <c r="E183" s="5">
        <v>92.11100006</v>
      </c>
      <c r="F183" s="5">
        <f t="shared" si="2"/>
        <v>92</v>
      </c>
      <c r="G183" s="5">
        <f t="shared" si="3"/>
        <v>41630.28249</v>
      </c>
      <c r="H183" s="5">
        <f t="shared" si="4"/>
        <v>7.88899994</v>
      </c>
      <c r="I183" s="5">
        <f t="shared" si="5"/>
        <v>8</v>
      </c>
      <c r="J183" s="5" t="s">
        <v>25</v>
      </c>
      <c r="K183" s="5" t="s">
        <v>25</v>
      </c>
      <c r="L183" s="5" t="s">
        <v>25</v>
      </c>
      <c r="M183" s="5" t="s">
        <v>25</v>
      </c>
      <c r="N183" s="5" t="s">
        <v>25</v>
      </c>
      <c r="O183" s="5" t="s">
        <v>25</v>
      </c>
      <c r="P183" s="5" t="s">
        <v>25</v>
      </c>
      <c r="Q183" s="5" t="s">
        <v>25</v>
      </c>
      <c r="R183" s="5" t="s">
        <v>25</v>
      </c>
      <c r="S183" s="5">
        <v>99.79042065</v>
      </c>
      <c r="T183" s="5">
        <v>0.0</v>
      </c>
      <c r="U183" s="5">
        <v>0.2095793501</v>
      </c>
      <c r="V183" s="5">
        <v>0.0</v>
      </c>
      <c r="W183" s="7">
        <f t="shared" si="7"/>
        <v>22</v>
      </c>
    </row>
    <row r="184">
      <c r="A184" s="5" t="s">
        <v>254</v>
      </c>
      <c r="B184" s="5" t="s">
        <v>126</v>
      </c>
      <c r="C184" s="5">
        <v>45741.0</v>
      </c>
      <c r="D184" s="5">
        <f t="shared" si="1"/>
        <v>46</v>
      </c>
      <c r="E184" s="5">
        <v>24.95400047</v>
      </c>
      <c r="F184" s="5">
        <f t="shared" si="2"/>
        <v>25</v>
      </c>
      <c r="G184" s="5">
        <f t="shared" si="3"/>
        <v>11414.20935</v>
      </c>
      <c r="H184" s="5">
        <f t="shared" si="4"/>
        <v>75.04599953</v>
      </c>
      <c r="I184" s="5">
        <f t="shared" si="5"/>
        <v>75</v>
      </c>
      <c r="J184" s="5">
        <v>55.85504921</v>
      </c>
      <c r="K184" s="5">
        <f t="shared" ref="K184:K214" si="9">ROUND(J184,1)</f>
        <v>55.9</v>
      </c>
      <c r="L184" s="5">
        <v>27.28286</v>
      </c>
      <c r="M184" s="5">
        <v>12.16590654</v>
      </c>
      <c r="N184" s="5">
        <v>4.696184252</v>
      </c>
      <c r="O184" s="5">
        <v>48.23118958</v>
      </c>
      <c r="P184" s="5">
        <v>31.78469426</v>
      </c>
      <c r="Q184" s="5">
        <v>14.07616061</v>
      </c>
      <c r="R184" s="5">
        <v>5.907955546</v>
      </c>
      <c r="S184" s="5">
        <v>78.7828518</v>
      </c>
      <c r="T184" s="5">
        <v>13.74416783</v>
      </c>
      <c r="U184" s="5">
        <v>6.421044133</v>
      </c>
      <c r="V184" s="5">
        <v>1.051936238</v>
      </c>
      <c r="W184" s="7">
        <f t="shared" si="7"/>
        <v>22</v>
      </c>
    </row>
    <row r="185">
      <c r="A185" s="5" t="s">
        <v>255</v>
      </c>
      <c r="B185" s="5" t="s">
        <v>43</v>
      </c>
      <c r="C185" s="5">
        <v>46754.78125</v>
      </c>
      <c r="D185" s="5">
        <f t="shared" si="1"/>
        <v>47</v>
      </c>
      <c r="E185" s="5">
        <v>80.80999756</v>
      </c>
      <c r="F185" s="5">
        <f t="shared" si="2"/>
        <v>81</v>
      </c>
      <c r="G185" s="5">
        <f t="shared" si="3"/>
        <v>37782.53759</v>
      </c>
      <c r="H185" s="5">
        <f t="shared" si="4"/>
        <v>19.19000244</v>
      </c>
      <c r="I185" s="5">
        <f t="shared" si="5"/>
        <v>19</v>
      </c>
      <c r="J185" s="5">
        <v>99.92561261</v>
      </c>
      <c r="K185" s="5">
        <f t="shared" si="9"/>
        <v>99.9</v>
      </c>
      <c r="L185" s="5">
        <v>0.0</v>
      </c>
      <c r="M185" s="5">
        <v>0.07438739142</v>
      </c>
      <c r="N185" s="5">
        <v>0.0</v>
      </c>
      <c r="O185" s="5">
        <v>100.0</v>
      </c>
      <c r="P185" s="5">
        <v>0.0</v>
      </c>
      <c r="Q185" s="5">
        <v>0.0</v>
      </c>
      <c r="R185" s="5">
        <v>0.0</v>
      </c>
      <c r="S185" s="5">
        <v>99.90794521</v>
      </c>
      <c r="T185" s="5">
        <v>0.0</v>
      </c>
      <c r="U185" s="5">
        <v>0.09205479452</v>
      </c>
      <c r="V185" s="5">
        <v>0.0</v>
      </c>
      <c r="W185" s="7">
        <f t="shared" si="7"/>
        <v>22</v>
      </c>
    </row>
    <row r="186">
      <c r="A186" s="5" t="s">
        <v>256</v>
      </c>
      <c r="B186" s="5" t="s">
        <v>79</v>
      </c>
      <c r="C186" s="5">
        <v>50882.88281</v>
      </c>
      <c r="D186" s="5">
        <f t="shared" si="1"/>
        <v>51</v>
      </c>
      <c r="E186" s="5">
        <v>81.42499542</v>
      </c>
      <c r="F186" s="5">
        <f t="shared" si="2"/>
        <v>81</v>
      </c>
      <c r="G186" s="5">
        <f t="shared" si="3"/>
        <v>41431.385</v>
      </c>
      <c r="H186" s="5">
        <f t="shared" si="4"/>
        <v>18.57500458</v>
      </c>
      <c r="I186" s="5">
        <f t="shared" si="5"/>
        <v>19</v>
      </c>
      <c r="J186" s="5">
        <v>97.49165711</v>
      </c>
      <c r="K186" s="5">
        <f t="shared" si="9"/>
        <v>97.5</v>
      </c>
      <c r="L186" s="5">
        <v>0.1861521591</v>
      </c>
      <c r="M186" s="5">
        <v>0.9536162228</v>
      </c>
      <c r="N186" s="5">
        <v>1.368574512</v>
      </c>
      <c r="O186" s="5">
        <v>86.76707282</v>
      </c>
      <c r="P186" s="5">
        <v>0.7312282016</v>
      </c>
      <c r="Q186" s="5">
        <v>5.13386897</v>
      </c>
      <c r="R186" s="5">
        <v>7.367830005</v>
      </c>
      <c r="S186" s="5">
        <v>99.9381928</v>
      </c>
      <c r="T186" s="5">
        <v>0.0618072</v>
      </c>
      <c r="U186" s="5">
        <v>0.0</v>
      </c>
      <c r="V186" s="5">
        <v>0.0</v>
      </c>
      <c r="W186" s="7">
        <f t="shared" si="7"/>
        <v>22</v>
      </c>
    </row>
    <row r="187">
      <c r="A187" s="5" t="s">
        <v>257</v>
      </c>
      <c r="B187" s="5" t="s">
        <v>43</v>
      </c>
      <c r="C187" s="5">
        <v>51269.18359</v>
      </c>
      <c r="D187" s="5">
        <f t="shared" si="1"/>
        <v>52</v>
      </c>
      <c r="E187" s="5">
        <v>81.41400146</v>
      </c>
      <c r="F187" s="5">
        <f t="shared" si="2"/>
        <v>81</v>
      </c>
      <c r="G187" s="5">
        <f t="shared" si="3"/>
        <v>41740.29388</v>
      </c>
      <c r="H187" s="5">
        <f t="shared" si="4"/>
        <v>18.58599854</v>
      </c>
      <c r="I187" s="5">
        <f t="shared" si="5"/>
        <v>19</v>
      </c>
      <c r="J187" s="5">
        <v>99.93139665</v>
      </c>
      <c r="K187" s="5">
        <f t="shared" si="9"/>
        <v>99.9</v>
      </c>
      <c r="L187" s="5">
        <v>0.0</v>
      </c>
      <c r="M187" s="5">
        <v>0.06860335296</v>
      </c>
      <c r="N187" s="5">
        <v>0.0</v>
      </c>
      <c r="O187" s="5" t="s">
        <v>25</v>
      </c>
      <c r="P187" s="5" t="s">
        <v>25</v>
      </c>
      <c r="Q187" s="5" t="s">
        <v>25</v>
      </c>
      <c r="R187" s="5" t="s">
        <v>25</v>
      </c>
      <c r="S187" s="5" t="s">
        <v>25</v>
      </c>
      <c r="T187" s="5" t="s">
        <v>25</v>
      </c>
      <c r="U187" s="5" t="s">
        <v>25</v>
      </c>
      <c r="V187" s="5" t="s">
        <v>25</v>
      </c>
      <c r="W187" s="7">
        <f t="shared" si="7"/>
        <v>22</v>
      </c>
    </row>
    <row r="188">
      <c r="A188" s="5" t="s">
        <v>258</v>
      </c>
      <c r="B188" s="5" t="s">
        <v>89</v>
      </c>
      <c r="C188" s="5">
        <v>53771.30078</v>
      </c>
      <c r="D188" s="5">
        <f t="shared" si="1"/>
        <v>54</v>
      </c>
      <c r="E188" s="5">
        <v>27.99499893</v>
      </c>
      <c r="F188" s="5">
        <f t="shared" si="2"/>
        <v>28</v>
      </c>
      <c r="G188" s="5">
        <f t="shared" si="3"/>
        <v>15053.27508</v>
      </c>
      <c r="H188" s="5">
        <f t="shared" si="4"/>
        <v>72.00500107</v>
      </c>
      <c r="I188" s="5">
        <f t="shared" si="5"/>
        <v>72</v>
      </c>
      <c r="J188" s="5">
        <v>61.63289158</v>
      </c>
      <c r="K188" s="5">
        <f t="shared" si="9"/>
        <v>61.6</v>
      </c>
      <c r="L188" s="5">
        <v>9.54187005</v>
      </c>
      <c r="M188" s="5">
        <v>9.780087524</v>
      </c>
      <c r="N188" s="5">
        <v>19.04515084</v>
      </c>
      <c r="O188" s="5">
        <v>51.77997893</v>
      </c>
      <c r="P188" s="5">
        <v>11.56900419</v>
      </c>
      <c r="Q188" s="5">
        <v>12.51911322</v>
      </c>
      <c r="R188" s="5">
        <v>24.13190366</v>
      </c>
      <c r="S188" s="5">
        <v>86.97523145</v>
      </c>
      <c r="T188" s="5">
        <v>4.327944725</v>
      </c>
      <c r="U188" s="5">
        <v>2.73514263</v>
      </c>
      <c r="V188" s="5">
        <v>5.961681193</v>
      </c>
      <c r="W188" s="7">
        <f t="shared" si="7"/>
        <v>22</v>
      </c>
    </row>
    <row r="189">
      <c r="A189" s="5" t="s">
        <v>259</v>
      </c>
      <c r="B189" s="5" t="s">
        <v>89</v>
      </c>
      <c r="C189" s="5">
        <v>54409.79297</v>
      </c>
      <c r="D189" s="5">
        <f t="shared" si="1"/>
        <v>55</v>
      </c>
      <c r="E189" s="5">
        <v>31.14100075</v>
      </c>
      <c r="F189" s="5">
        <f t="shared" si="2"/>
        <v>31</v>
      </c>
      <c r="G189" s="5">
        <f t="shared" si="3"/>
        <v>16943.75404</v>
      </c>
      <c r="H189" s="5">
        <f t="shared" si="4"/>
        <v>68.85899925</v>
      </c>
      <c r="I189" s="5">
        <f t="shared" si="5"/>
        <v>69</v>
      </c>
      <c r="J189" s="5">
        <v>83.71819191</v>
      </c>
      <c r="K189" s="5">
        <f t="shared" si="9"/>
        <v>83.7</v>
      </c>
      <c r="L189" s="5">
        <v>1.595436949</v>
      </c>
      <c r="M189" s="5">
        <v>5.10942478</v>
      </c>
      <c r="N189" s="5">
        <v>9.576946362</v>
      </c>
      <c r="O189" s="5">
        <v>78.42256469</v>
      </c>
      <c r="P189" s="5">
        <v>2.316962142</v>
      </c>
      <c r="Q189" s="5">
        <v>6.592393694</v>
      </c>
      <c r="R189" s="5">
        <v>12.66807947</v>
      </c>
      <c r="S189" s="5">
        <v>95.42788606</v>
      </c>
      <c r="T189" s="5">
        <v>0.0</v>
      </c>
      <c r="U189" s="5">
        <v>1.830283006</v>
      </c>
      <c r="V189" s="5">
        <v>2.741830931</v>
      </c>
      <c r="W189" s="7">
        <f t="shared" si="7"/>
        <v>22</v>
      </c>
    </row>
    <row r="190">
      <c r="A190" s="5" t="s">
        <v>260</v>
      </c>
      <c r="B190" s="5" t="s">
        <v>79</v>
      </c>
      <c r="C190" s="5">
        <v>59308.69141</v>
      </c>
      <c r="D190" s="5">
        <f t="shared" si="1"/>
        <v>60</v>
      </c>
      <c r="E190" s="5">
        <v>67.35400391</v>
      </c>
      <c r="F190" s="5">
        <f t="shared" si="2"/>
        <v>67</v>
      </c>
      <c r="G190" s="5">
        <f t="shared" si="3"/>
        <v>39946.77833</v>
      </c>
      <c r="H190" s="5">
        <f t="shared" si="4"/>
        <v>32.64599609</v>
      </c>
      <c r="I190" s="5">
        <f t="shared" si="5"/>
        <v>33</v>
      </c>
      <c r="J190" s="5">
        <v>93.88505744</v>
      </c>
      <c r="K190" s="5">
        <f t="shared" si="9"/>
        <v>93.9</v>
      </c>
      <c r="L190" s="5">
        <v>2.772736186</v>
      </c>
      <c r="M190" s="5">
        <v>1.410816657</v>
      </c>
      <c r="N190" s="5">
        <v>1.931389712</v>
      </c>
      <c r="O190" s="5">
        <v>83.32948118</v>
      </c>
      <c r="P190" s="5">
        <v>6.977359359</v>
      </c>
      <c r="Q190" s="5">
        <v>3.776999287</v>
      </c>
      <c r="R190" s="5">
        <v>5.916160173</v>
      </c>
      <c r="S190" s="5">
        <v>99.00126484</v>
      </c>
      <c r="T190" s="5">
        <v>0.734785403</v>
      </c>
      <c r="U190" s="5">
        <v>0.2639497547</v>
      </c>
      <c r="V190" s="5">
        <v>0.0</v>
      </c>
      <c r="W190" s="7">
        <f t="shared" si="7"/>
        <v>22</v>
      </c>
    </row>
    <row r="191">
      <c r="A191" s="5" t="s">
        <v>261</v>
      </c>
      <c r="B191" s="5" t="s">
        <v>89</v>
      </c>
      <c r="C191" s="5">
        <v>59734.21484</v>
      </c>
      <c r="D191" s="5">
        <f t="shared" si="1"/>
        <v>60</v>
      </c>
      <c r="E191" s="5">
        <v>35.22700119</v>
      </c>
      <c r="F191" s="5">
        <f t="shared" si="2"/>
        <v>35</v>
      </c>
      <c r="G191" s="5">
        <f t="shared" si="3"/>
        <v>21042.57257</v>
      </c>
      <c r="H191" s="5">
        <f t="shared" si="4"/>
        <v>64.77299881</v>
      </c>
      <c r="I191" s="5">
        <f t="shared" si="5"/>
        <v>65</v>
      </c>
      <c r="J191" s="5">
        <v>60.71679759</v>
      </c>
      <c r="K191" s="5">
        <f t="shared" si="9"/>
        <v>60.7</v>
      </c>
      <c r="L191" s="5">
        <v>11.29007067</v>
      </c>
      <c r="M191" s="5">
        <v>14.51775136</v>
      </c>
      <c r="N191" s="5">
        <v>13.47538038</v>
      </c>
      <c r="O191" s="5">
        <v>45.44696534</v>
      </c>
      <c r="P191" s="5">
        <v>13.98368881</v>
      </c>
      <c r="Q191" s="5">
        <v>21.21996133</v>
      </c>
      <c r="R191" s="5">
        <v>19.34938452</v>
      </c>
      <c r="S191" s="5">
        <v>88.7939249</v>
      </c>
      <c r="T191" s="5">
        <v>6.337231166</v>
      </c>
      <c r="U191" s="5">
        <v>2.194178786</v>
      </c>
      <c r="V191" s="5">
        <v>2.674665152</v>
      </c>
      <c r="W191" s="7">
        <f t="shared" si="7"/>
        <v>22</v>
      </c>
    </row>
    <row r="192">
      <c r="A192" s="5" t="s">
        <v>262</v>
      </c>
      <c r="B192" s="5" t="s">
        <v>43</v>
      </c>
      <c r="C192" s="5">
        <v>60461.82813</v>
      </c>
      <c r="D192" s="5">
        <f t="shared" si="1"/>
        <v>61</v>
      </c>
      <c r="E192" s="5">
        <v>71.03899384</v>
      </c>
      <c r="F192" s="5">
        <f t="shared" si="2"/>
        <v>71</v>
      </c>
      <c r="G192" s="5">
        <f t="shared" si="3"/>
        <v>42951.47436</v>
      </c>
      <c r="H192" s="5">
        <f t="shared" si="4"/>
        <v>28.96100616</v>
      </c>
      <c r="I192" s="5">
        <f t="shared" si="5"/>
        <v>29</v>
      </c>
      <c r="J192" s="5">
        <v>99.91703407</v>
      </c>
      <c r="K192" s="5">
        <f t="shared" si="9"/>
        <v>99.9</v>
      </c>
      <c r="L192" s="5">
        <v>0.0</v>
      </c>
      <c r="M192" s="5">
        <v>0.08296592591</v>
      </c>
      <c r="N192" s="5">
        <v>0.0</v>
      </c>
      <c r="O192" s="5" t="s">
        <v>25</v>
      </c>
      <c r="P192" s="5" t="s">
        <v>25</v>
      </c>
      <c r="Q192" s="5" t="s">
        <v>25</v>
      </c>
      <c r="R192" s="5" t="s">
        <v>25</v>
      </c>
      <c r="S192" s="5" t="s">
        <v>25</v>
      </c>
      <c r="T192" s="5" t="s">
        <v>25</v>
      </c>
      <c r="U192" s="5" t="s">
        <v>25</v>
      </c>
      <c r="V192" s="5" t="s">
        <v>25</v>
      </c>
      <c r="W192" s="7">
        <f t="shared" si="7"/>
        <v>22</v>
      </c>
    </row>
    <row r="193">
      <c r="A193" s="5" t="s">
        <v>263</v>
      </c>
      <c r="B193" s="5" t="s">
        <v>43</v>
      </c>
      <c r="C193" s="5">
        <v>65273.51172</v>
      </c>
      <c r="D193" s="5">
        <f t="shared" si="1"/>
        <v>66</v>
      </c>
      <c r="E193" s="5">
        <v>80.97499847</v>
      </c>
      <c r="F193" s="5">
        <f t="shared" si="2"/>
        <v>81</v>
      </c>
      <c r="G193" s="5">
        <f t="shared" si="3"/>
        <v>52855.22512</v>
      </c>
      <c r="H193" s="5">
        <f t="shared" si="4"/>
        <v>19.02500153</v>
      </c>
      <c r="I193" s="5">
        <f t="shared" si="5"/>
        <v>19</v>
      </c>
      <c r="J193" s="5">
        <v>99.9999985</v>
      </c>
      <c r="K193" s="5">
        <f t="shared" si="9"/>
        <v>100</v>
      </c>
      <c r="L193" s="5">
        <v>0.0</v>
      </c>
      <c r="M193" s="5">
        <v>1.49610841E-6</v>
      </c>
      <c r="N193" s="5">
        <v>0.0</v>
      </c>
      <c r="O193" s="5">
        <v>100.0</v>
      </c>
      <c r="P193" s="5">
        <v>0.0</v>
      </c>
      <c r="Q193" s="5">
        <v>0.0</v>
      </c>
      <c r="R193" s="5">
        <v>0.0</v>
      </c>
      <c r="S193" s="5">
        <v>100.0</v>
      </c>
      <c r="T193" s="5">
        <v>0.0</v>
      </c>
      <c r="U193" s="5">
        <v>0.0</v>
      </c>
      <c r="V193" s="5">
        <v>0.0</v>
      </c>
      <c r="W193" s="7">
        <f t="shared" si="7"/>
        <v>22</v>
      </c>
    </row>
    <row r="194">
      <c r="A194" s="5" t="s">
        <v>264</v>
      </c>
      <c r="B194" s="5" t="s">
        <v>43</v>
      </c>
      <c r="C194" s="5">
        <v>67886.00781</v>
      </c>
      <c r="D194" s="5">
        <f t="shared" si="1"/>
        <v>68</v>
      </c>
      <c r="E194" s="5">
        <v>83.90299988</v>
      </c>
      <c r="F194" s="5">
        <f t="shared" si="2"/>
        <v>84</v>
      </c>
      <c r="G194" s="5">
        <f t="shared" si="3"/>
        <v>56958.39705</v>
      </c>
      <c r="H194" s="5">
        <f t="shared" si="4"/>
        <v>16.09700012</v>
      </c>
      <c r="I194" s="5">
        <f t="shared" si="5"/>
        <v>16</v>
      </c>
      <c r="J194" s="5">
        <v>99.99999856</v>
      </c>
      <c r="K194" s="5">
        <f t="shared" si="9"/>
        <v>100</v>
      </c>
      <c r="L194" s="5">
        <v>0.0</v>
      </c>
      <c r="M194" s="5">
        <v>1.43853282E-6</v>
      </c>
      <c r="N194" s="5">
        <v>0.0</v>
      </c>
      <c r="O194" s="5">
        <v>100.0</v>
      </c>
      <c r="P194" s="5">
        <v>0.0</v>
      </c>
      <c r="Q194" s="5">
        <v>0.0</v>
      </c>
      <c r="R194" s="5">
        <v>0.0</v>
      </c>
      <c r="S194" s="5">
        <v>100.0</v>
      </c>
      <c r="T194" s="5">
        <v>0.0</v>
      </c>
      <c r="U194" s="5">
        <v>0.0</v>
      </c>
      <c r="V194" s="5">
        <v>0.0</v>
      </c>
      <c r="W194" s="7">
        <f t="shared" si="7"/>
        <v>22</v>
      </c>
    </row>
    <row r="195">
      <c r="A195" s="5" t="s">
        <v>265</v>
      </c>
      <c r="B195" s="5" t="s">
        <v>79</v>
      </c>
      <c r="C195" s="5">
        <v>69799.97656</v>
      </c>
      <c r="D195" s="5">
        <f t="shared" si="1"/>
        <v>70</v>
      </c>
      <c r="E195" s="5">
        <v>51.43000031</v>
      </c>
      <c r="F195" s="5">
        <f t="shared" si="2"/>
        <v>51</v>
      </c>
      <c r="G195" s="5">
        <f t="shared" si="3"/>
        <v>35898.12816</v>
      </c>
      <c r="H195" s="5">
        <f t="shared" si="4"/>
        <v>48.56999969</v>
      </c>
      <c r="I195" s="5">
        <f t="shared" si="5"/>
        <v>49</v>
      </c>
      <c r="J195" s="5">
        <v>100.0</v>
      </c>
      <c r="K195" s="5">
        <f t="shared" si="9"/>
        <v>100</v>
      </c>
      <c r="L195" s="5">
        <v>0.0</v>
      </c>
      <c r="M195" s="5">
        <v>0.0</v>
      </c>
      <c r="N195" s="5">
        <v>0.0</v>
      </c>
      <c r="O195" s="5">
        <v>100.0</v>
      </c>
      <c r="P195" s="5">
        <v>0.0</v>
      </c>
      <c r="Q195" s="5">
        <v>0.0</v>
      </c>
      <c r="R195" s="5">
        <v>0.0</v>
      </c>
      <c r="S195" s="5">
        <v>100.0</v>
      </c>
      <c r="T195" s="5">
        <v>0.0</v>
      </c>
      <c r="U195" s="5">
        <v>0.0</v>
      </c>
      <c r="V195" s="5">
        <v>0.0</v>
      </c>
      <c r="W195" s="7">
        <f t="shared" si="7"/>
        <v>22</v>
      </c>
    </row>
    <row r="196">
      <c r="A196" s="5" t="s">
        <v>266</v>
      </c>
      <c r="B196" s="5" t="s">
        <v>43</v>
      </c>
      <c r="C196" s="5">
        <v>83783.94531</v>
      </c>
      <c r="D196" s="5">
        <f t="shared" si="1"/>
        <v>84</v>
      </c>
      <c r="E196" s="5">
        <v>77.45300293</v>
      </c>
      <c r="F196" s="5">
        <f t="shared" si="2"/>
        <v>77</v>
      </c>
      <c r="G196" s="5">
        <f t="shared" si="3"/>
        <v>64893.18162</v>
      </c>
      <c r="H196" s="5">
        <f t="shared" si="4"/>
        <v>22.54699707</v>
      </c>
      <c r="I196" s="5">
        <f t="shared" si="5"/>
        <v>23</v>
      </c>
      <c r="J196" s="5">
        <v>100.0000023</v>
      </c>
      <c r="K196" s="5">
        <f t="shared" si="9"/>
        <v>100</v>
      </c>
      <c r="L196" s="5">
        <v>0.0</v>
      </c>
      <c r="M196" s="5">
        <v>0.0</v>
      </c>
      <c r="N196" s="5">
        <v>0.0</v>
      </c>
      <c r="O196" s="5">
        <v>100.0</v>
      </c>
      <c r="P196" s="5">
        <v>0.0</v>
      </c>
      <c r="Q196" s="5">
        <v>0.0</v>
      </c>
      <c r="R196" s="5">
        <v>0.0</v>
      </c>
      <c r="S196" s="5">
        <v>100.0</v>
      </c>
      <c r="T196" s="5">
        <v>0.0</v>
      </c>
      <c r="U196" s="5">
        <v>0.0</v>
      </c>
      <c r="V196" s="5">
        <v>0.0</v>
      </c>
      <c r="W196" s="7">
        <f t="shared" si="7"/>
        <v>22</v>
      </c>
    </row>
    <row r="197">
      <c r="A197" s="5" t="s">
        <v>267</v>
      </c>
      <c r="B197" s="5" t="s">
        <v>89</v>
      </c>
      <c r="C197" s="5">
        <v>83992.95313</v>
      </c>
      <c r="D197" s="5">
        <f t="shared" si="1"/>
        <v>84</v>
      </c>
      <c r="E197" s="5">
        <v>75.87400055</v>
      </c>
      <c r="F197" s="5">
        <f t="shared" si="2"/>
        <v>76</v>
      </c>
      <c r="G197" s="5">
        <f t="shared" si="3"/>
        <v>63728.81372</v>
      </c>
      <c r="H197" s="5">
        <f t="shared" si="4"/>
        <v>24.12599945</v>
      </c>
      <c r="I197" s="5">
        <f t="shared" si="5"/>
        <v>24</v>
      </c>
      <c r="J197" s="5">
        <v>97.48263633</v>
      </c>
      <c r="K197" s="5">
        <f t="shared" si="9"/>
        <v>97.5</v>
      </c>
      <c r="L197" s="5">
        <v>1.938311229</v>
      </c>
      <c r="M197" s="5">
        <v>0.5137973631</v>
      </c>
      <c r="N197" s="5">
        <v>0.06525508185</v>
      </c>
      <c r="O197" s="5">
        <v>93.82873538</v>
      </c>
      <c r="P197" s="5">
        <v>4.297948765</v>
      </c>
      <c r="Q197" s="5">
        <v>1.602839669</v>
      </c>
      <c r="R197" s="5">
        <v>0.2704761905</v>
      </c>
      <c r="S197" s="5">
        <v>98.64448672</v>
      </c>
      <c r="T197" s="5">
        <v>1.188006671</v>
      </c>
      <c r="U197" s="5">
        <v>0.1675066077</v>
      </c>
      <c r="V197" s="5">
        <v>0.0</v>
      </c>
      <c r="W197" s="7">
        <f t="shared" si="7"/>
        <v>22</v>
      </c>
    </row>
    <row r="198">
      <c r="A198" s="5" t="s">
        <v>268</v>
      </c>
      <c r="B198" s="5" t="s">
        <v>79</v>
      </c>
      <c r="C198" s="5">
        <v>84339.07031</v>
      </c>
      <c r="D198" s="5">
        <f t="shared" si="1"/>
        <v>85</v>
      </c>
      <c r="E198" s="5">
        <v>76.10500336</v>
      </c>
      <c r="F198" s="5">
        <f t="shared" si="2"/>
        <v>76</v>
      </c>
      <c r="G198" s="5">
        <f t="shared" si="3"/>
        <v>64186.25229</v>
      </c>
      <c r="H198" s="5">
        <f t="shared" si="4"/>
        <v>23.89499664</v>
      </c>
      <c r="I198" s="5">
        <f t="shared" si="5"/>
        <v>24</v>
      </c>
      <c r="J198" s="5">
        <v>97.01426916</v>
      </c>
      <c r="K198" s="5">
        <f t="shared" si="9"/>
        <v>97</v>
      </c>
      <c r="L198" s="5">
        <v>2.023078075</v>
      </c>
      <c r="M198" s="5">
        <v>0.7376749545</v>
      </c>
      <c r="N198" s="5">
        <v>0.2249778093</v>
      </c>
      <c r="O198" s="5">
        <v>96.02516977</v>
      </c>
      <c r="P198" s="5">
        <v>2.684574639</v>
      </c>
      <c r="Q198" s="5">
        <v>0.7882555911</v>
      </c>
      <c r="R198" s="5">
        <v>0.502</v>
      </c>
      <c r="S198" s="5">
        <v>97.32481783</v>
      </c>
      <c r="T198" s="5">
        <v>1.815385203</v>
      </c>
      <c r="U198" s="5">
        <v>0.7217969634</v>
      </c>
      <c r="V198" s="5">
        <v>0.138</v>
      </c>
      <c r="W198" s="7">
        <f t="shared" si="7"/>
        <v>22</v>
      </c>
    </row>
    <row r="199">
      <c r="A199" s="5" t="s">
        <v>269</v>
      </c>
      <c r="B199" s="5" t="s">
        <v>89</v>
      </c>
      <c r="C199" s="5">
        <v>89561.40625</v>
      </c>
      <c r="D199" s="5">
        <f t="shared" si="1"/>
        <v>90</v>
      </c>
      <c r="E199" s="5">
        <v>45.63800049</v>
      </c>
      <c r="F199" s="5">
        <f t="shared" si="2"/>
        <v>46</v>
      </c>
      <c r="G199" s="5">
        <f t="shared" si="3"/>
        <v>40874.03502</v>
      </c>
      <c r="H199" s="5">
        <f t="shared" si="4"/>
        <v>54.36199951</v>
      </c>
      <c r="I199" s="5">
        <f t="shared" si="5"/>
        <v>54</v>
      </c>
      <c r="J199" s="5">
        <v>45.95212696</v>
      </c>
      <c r="K199" s="5">
        <f t="shared" si="9"/>
        <v>46</v>
      </c>
      <c r="L199" s="5">
        <v>13.44122447</v>
      </c>
      <c r="M199" s="5">
        <v>32.54231607</v>
      </c>
      <c r="N199" s="5">
        <v>8.064332495</v>
      </c>
      <c r="O199" s="5">
        <v>21.98279234</v>
      </c>
      <c r="P199" s="5">
        <v>12.68294146</v>
      </c>
      <c r="Q199" s="5">
        <v>51.21598167</v>
      </c>
      <c r="R199" s="5">
        <v>14.11828453</v>
      </c>
      <c r="S199" s="5">
        <v>74.50335478</v>
      </c>
      <c r="T199" s="5">
        <v>14.34445818</v>
      </c>
      <c r="U199" s="5">
        <v>10.29905862</v>
      </c>
      <c r="V199" s="5">
        <v>0.8531284131</v>
      </c>
      <c r="W199" s="7">
        <f t="shared" si="7"/>
        <v>22</v>
      </c>
    </row>
    <row r="200">
      <c r="A200" s="5" t="s">
        <v>270</v>
      </c>
      <c r="B200" s="5" t="s">
        <v>89</v>
      </c>
      <c r="C200" s="5">
        <v>97338.58594</v>
      </c>
      <c r="D200" s="5">
        <f t="shared" si="1"/>
        <v>98</v>
      </c>
      <c r="E200" s="5">
        <v>37.34000015</v>
      </c>
      <c r="F200" s="5">
        <f t="shared" si="2"/>
        <v>37</v>
      </c>
      <c r="G200" s="5">
        <f t="shared" si="3"/>
        <v>36346.22814</v>
      </c>
      <c r="H200" s="5">
        <f t="shared" si="4"/>
        <v>62.65999985</v>
      </c>
      <c r="I200" s="5">
        <f t="shared" si="5"/>
        <v>63</v>
      </c>
      <c r="J200" s="5">
        <v>96.88435687</v>
      </c>
      <c r="K200" s="5">
        <f t="shared" si="9"/>
        <v>96.9</v>
      </c>
      <c r="L200" s="5">
        <v>0.0</v>
      </c>
      <c r="M200" s="5">
        <v>3.115643126</v>
      </c>
      <c r="N200" s="5">
        <v>0.0</v>
      </c>
      <c r="O200" s="5">
        <v>95.51453844</v>
      </c>
      <c r="P200" s="5">
        <v>0.0</v>
      </c>
      <c r="Q200" s="5">
        <v>4.48546156</v>
      </c>
      <c r="R200" s="5">
        <v>0.0</v>
      </c>
      <c r="S200" s="5">
        <v>99.18304001</v>
      </c>
      <c r="T200" s="5">
        <v>0.0</v>
      </c>
      <c r="U200" s="5">
        <v>0.816959987</v>
      </c>
      <c r="V200" s="5">
        <v>0.0</v>
      </c>
      <c r="W200" s="7">
        <f t="shared" si="7"/>
        <v>22</v>
      </c>
    </row>
    <row r="201">
      <c r="A201" s="5" t="s">
        <v>271</v>
      </c>
      <c r="B201" s="5" t="s">
        <v>89</v>
      </c>
      <c r="C201" s="5">
        <v>102334.4063</v>
      </c>
      <c r="D201" s="5">
        <f t="shared" si="1"/>
        <v>103</v>
      </c>
      <c r="E201" s="5">
        <v>42.78300095</v>
      </c>
      <c r="F201" s="5">
        <f t="shared" si="2"/>
        <v>43</v>
      </c>
      <c r="G201" s="5">
        <f t="shared" si="3"/>
        <v>43781.73002</v>
      </c>
      <c r="H201" s="5">
        <f t="shared" si="4"/>
        <v>57.21699905</v>
      </c>
      <c r="I201" s="5">
        <f t="shared" si="5"/>
        <v>57</v>
      </c>
      <c r="J201" s="5">
        <v>99.44017596</v>
      </c>
      <c r="K201" s="5">
        <f t="shared" si="9"/>
        <v>99.4</v>
      </c>
      <c r="L201" s="5">
        <v>0.2376091086</v>
      </c>
      <c r="M201" s="5">
        <v>0.3222149265</v>
      </c>
      <c r="N201" s="5">
        <v>0.0</v>
      </c>
      <c r="O201" s="5">
        <v>99.33283515</v>
      </c>
      <c r="P201" s="5">
        <v>0.3359418224</v>
      </c>
      <c r="Q201" s="5">
        <v>0.3312230319</v>
      </c>
      <c r="R201" s="5">
        <v>0.0</v>
      </c>
      <c r="S201" s="5">
        <v>99.5837311</v>
      </c>
      <c r="T201" s="5">
        <v>0.1061012067</v>
      </c>
      <c r="U201" s="5">
        <v>0.3101676943</v>
      </c>
      <c r="V201" s="5">
        <v>0.0</v>
      </c>
      <c r="W201" s="7">
        <f t="shared" si="7"/>
        <v>22</v>
      </c>
    </row>
    <row r="202">
      <c r="A202" s="5" t="s">
        <v>272</v>
      </c>
      <c r="B202" s="5" t="s">
        <v>89</v>
      </c>
      <c r="C202" s="5">
        <v>109581.0859</v>
      </c>
      <c r="D202" s="5">
        <f t="shared" si="1"/>
        <v>110</v>
      </c>
      <c r="E202" s="5">
        <v>47.40799713</v>
      </c>
      <c r="F202" s="5">
        <f t="shared" si="2"/>
        <v>47</v>
      </c>
      <c r="G202" s="5">
        <f t="shared" si="3"/>
        <v>51950.19806</v>
      </c>
      <c r="H202" s="5">
        <f t="shared" si="4"/>
        <v>52.59200287</v>
      </c>
      <c r="I202" s="5">
        <f t="shared" si="5"/>
        <v>53</v>
      </c>
      <c r="J202" s="5">
        <v>94.10903456</v>
      </c>
      <c r="K202" s="5">
        <f t="shared" si="9"/>
        <v>94.1</v>
      </c>
      <c r="L202" s="5">
        <v>2.856486137</v>
      </c>
      <c r="M202" s="5">
        <v>3.034479307</v>
      </c>
      <c r="N202" s="5">
        <v>0.0</v>
      </c>
      <c r="O202" s="5">
        <v>91.06193322</v>
      </c>
      <c r="P202" s="5">
        <v>3.959520428</v>
      </c>
      <c r="Q202" s="5">
        <v>4.978546347</v>
      </c>
      <c r="R202" s="5">
        <v>0.0</v>
      </c>
      <c r="S202" s="5">
        <v>97.4893325</v>
      </c>
      <c r="T202" s="5">
        <v>1.632836465</v>
      </c>
      <c r="U202" s="5">
        <v>0.877831036</v>
      </c>
      <c r="V202" s="5">
        <v>0.0</v>
      </c>
      <c r="W202" s="7">
        <f t="shared" si="7"/>
        <v>22</v>
      </c>
    </row>
    <row r="203">
      <c r="A203" s="5" t="s">
        <v>273</v>
      </c>
      <c r="B203" s="5" t="s">
        <v>126</v>
      </c>
      <c r="C203" s="5">
        <v>114963.5859</v>
      </c>
      <c r="D203" s="5">
        <f t="shared" si="1"/>
        <v>115</v>
      </c>
      <c r="E203" s="5">
        <v>21.69499969</v>
      </c>
      <c r="F203" s="5">
        <f t="shared" si="2"/>
        <v>22</v>
      </c>
      <c r="G203" s="5">
        <f t="shared" si="3"/>
        <v>24941.3496</v>
      </c>
      <c r="H203" s="5">
        <f t="shared" si="4"/>
        <v>78.30500031</v>
      </c>
      <c r="I203" s="5">
        <f t="shared" si="5"/>
        <v>78</v>
      </c>
      <c r="J203" s="5">
        <v>49.61557274</v>
      </c>
      <c r="K203" s="5">
        <f t="shared" si="9"/>
        <v>49.6</v>
      </c>
      <c r="L203" s="5">
        <v>26.74071964</v>
      </c>
      <c r="M203" s="5">
        <v>18.63506013</v>
      </c>
      <c r="N203" s="5">
        <v>5.008647486</v>
      </c>
      <c r="O203" s="5">
        <v>40.03013919</v>
      </c>
      <c r="P203" s="5">
        <v>30.18668334</v>
      </c>
      <c r="Q203" s="5">
        <v>23.49561327</v>
      </c>
      <c r="R203" s="5">
        <v>6.287564203</v>
      </c>
      <c r="S203" s="5">
        <v>84.21282816</v>
      </c>
      <c r="T203" s="5">
        <v>14.30300858</v>
      </c>
      <c r="U203" s="5">
        <v>1.091582355</v>
      </c>
      <c r="V203" s="5">
        <v>0.392580896</v>
      </c>
      <c r="W203" s="7">
        <f t="shared" si="7"/>
        <v>22</v>
      </c>
    </row>
    <row r="204">
      <c r="A204" s="5" t="s">
        <v>274</v>
      </c>
      <c r="B204" s="5" t="s">
        <v>43</v>
      </c>
      <c r="C204" s="5">
        <v>126476.4609</v>
      </c>
      <c r="D204" s="5">
        <f t="shared" si="1"/>
        <v>127</v>
      </c>
      <c r="E204" s="5">
        <v>91.78199768</v>
      </c>
      <c r="F204" s="5">
        <f t="shared" si="2"/>
        <v>92</v>
      </c>
      <c r="G204" s="5">
        <f t="shared" si="3"/>
        <v>116082.6224</v>
      </c>
      <c r="H204" s="5">
        <f t="shared" si="4"/>
        <v>8.21800232</v>
      </c>
      <c r="I204" s="5">
        <f t="shared" si="5"/>
        <v>8</v>
      </c>
      <c r="J204" s="5">
        <v>99.07891245</v>
      </c>
      <c r="K204" s="5">
        <f t="shared" si="9"/>
        <v>99.1</v>
      </c>
      <c r="L204" s="5">
        <v>0.0</v>
      </c>
      <c r="M204" s="5">
        <v>0.9210875467</v>
      </c>
      <c r="N204" s="5">
        <v>0.0</v>
      </c>
      <c r="O204" s="5" t="s">
        <v>25</v>
      </c>
      <c r="P204" s="5" t="s">
        <v>25</v>
      </c>
      <c r="Q204" s="5" t="s">
        <v>25</v>
      </c>
      <c r="R204" s="5" t="s">
        <v>25</v>
      </c>
      <c r="S204" s="5" t="s">
        <v>25</v>
      </c>
      <c r="T204" s="5" t="s">
        <v>25</v>
      </c>
      <c r="U204" s="5" t="s">
        <v>25</v>
      </c>
      <c r="V204" s="5" t="s">
        <v>25</v>
      </c>
      <c r="W204" s="7">
        <f t="shared" si="7"/>
        <v>22</v>
      </c>
    </row>
    <row r="205">
      <c r="A205" s="5" t="s">
        <v>275</v>
      </c>
      <c r="B205" s="5" t="s">
        <v>79</v>
      </c>
      <c r="C205" s="5">
        <v>128932.75</v>
      </c>
      <c r="D205" s="5">
        <f t="shared" si="1"/>
        <v>129</v>
      </c>
      <c r="E205" s="5">
        <v>80.73099518</v>
      </c>
      <c r="F205" s="5">
        <f t="shared" si="2"/>
        <v>81</v>
      </c>
      <c r="G205" s="5">
        <f t="shared" si="3"/>
        <v>104088.6922</v>
      </c>
      <c r="H205" s="5">
        <f t="shared" si="4"/>
        <v>19.26900482</v>
      </c>
      <c r="I205" s="5">
        <f t="shared" si="5"/>
        <v>19</v>
      </c>
      <c r="J205" s="5">
        <v>99.67956828</v>
      </c>
      <c r="K205" s="5">
        <f t="shared" si="9"/>
        <v>99.7</v>
      </c>
      <c r="L205" s="5">
        <v>0.0</v>
      </c>
      <c r="M205" s="5">
        <v>0.3204317169</v>
      </c>
      <c r="N205" s="5">
        <v>0.0</v>
      </c>
      <c r="O205" s="5">
        <v>98.33706893</v>
      </c>
      <c r="P205" s="5">
        <v>0.0</v>
      </c>
      <c r="Q205" s="5">
        <v>1.662931067</v>
      </c>
      <c r="R205" s="5">
        <v>0.0</v>
      </c>
      <c r="S205" s="5">
        <v>100.0</v>
      </c>
      <c r="T205" s="5">
        <v>0.0</v>
      </c>
      <c r="U205" s="5">
        <v>0.0</v>
      </c>
      <c r="V205" s="5">
        <v>0.0</v>
      </c>
      <c r="W205" s="7">
        <f t="shared" si="7"/>
        <v>22</v>
      </c>
    </row>
    <row r="206">
      <c r="A206" s="5" t="s">
        <v>276</v>
      </c>
      <c r="B206" s="5" t="s">
        <v>79</v>
      </c>
      <c r="C206" s="5">
        <v>145934.4531</v>
      </c>
      <c r="D206" s="5">
        <f t="shared" si="1"/>
        <v>146</v>
      </c>
      <c r="E206" s="5">
        <v>74.75400543</v>
      </c>
      <c r="F206" s="5">
        <f t="shared" si="2"/>
        <v>75</v>
      </c>
      <c r="G206" s="5">
        <f t="shared" si="3"/>
        <v>109091.849</v>
      </c>
      <c r="H206" s="5">
        <f t="shared" si="4"/>
        <v>25.24599457</v>
      </c>
      <c r="I206" s="5">
        <f t="shared" si="5"/>
        <v>25</v>
      </c>
      <c r="J206" s="5">
        <v>96.99254807</v>
      </c>
      <c r="K206" s="5">
        <f t="shared" si="9"/>
        <v>97</v>
      </c>
      <c r="L206" s="5">
        <v>0.6219963766</v>
      </c>
      <c r="M206" s="5">
        <v>2.38545555</v>
      </c>
      <c r="N206" s="5" t="s">
        <v>25</v>
      </c>
      <c r="O206" s="5">
        <v>91.54410196</v>
      </c>
      <c r="P206" s="5">
        <v>1.583163513</v>
      </c>
      <c r="Q206" s="5">
        <v>6.872734531</v>
      </c>
      <c r="R206" s="5" t="s">
        <v>25</v>
      </c>
      <c r="S206" s="5">
        <v>98.83259961</v>
      </c>
      <c r="T206" s="5">
        <v>0.2973899687</v>
      </c>
      <c r="U206" s="5">
        <v>0.6700104236</v>
      </c>
      <c r="V206" s="5">
        <v>0.2</v>
      </c>
      <c r="W206" s="7">
        <f t="shared" si="7"/>
        <v>22</v>
      </c>
    </row>
    <row r="207">
      <c r="A207" s="5" t="s">
        <v>277</v>
      </c>
      <c r="B207" s="5" t="s">
        <v>89</v>
      </c>
      <c r="C207" s="5">
        <v>164689.3906</v>
      </c>
      <c r="D207" s="5">
        <f t="shared" si="1"/>
        <v>165</v>
      </c>
      <c r="E207" s="5">
        <v>38.17700195</v>
      </c>
      <c r="F207" s="5">
        <f t="shared" si="2"/>
        <v>38</v>
      </c>
      <c r="G207" s="5">
        <f t="shared" si="3"/>
        <v>62873.47186</v>
      </c>
      <c r="H207" s="5">
        <f t="shared" si="4"/>
        <v>61.82299805</v>
      </c>
      <c r="I207" s="5">
        <f t="shared" si="5"/>
        <v>62</v>
      </c>
      <c r="J207" s="5">
        <v>97.69796025</v>
      </c>
      <c r="K207" s="5">
        <f t="shared" si="9"/>
        <v>97.7</v>
      </c>
      <c r="L207" s="5">
        <v>1.156425878</v>
      </c>
      <c r="M207" s="5">
        <v>0.4626557002</v>
      </c>
      <c r="N207" s="5">
        <v>0.6829581735</v>
      </c>
      <c r="O207" s="5">
        <v>97.88023776</v>
      </c>
      <c r="P207" s="5">
        <v>0.8581049804</v>
      </c>
      <c r="Q207" s="5">
        <v>0.3164802414</v>
      </c>
      <c r="R207" s="5">
        <v>0.9451770151</v>
      </c>
      <c r="S207" s="5">
        <v>97.40277797</v>
      </c>
      <c r="T207" s="5">
        <v>1.639520121</v>
      </c>
      <c r="U207" s="5">
        <v>0.6993752147</v>
      </c>
      <c r="V207" s="5">
        <v>0.2583266934</v>
      </c>
      <c r="W207" s="7">
        <f t="shared" si="7"/>
        <v>22</v>
      </c>
    </row>
    <row r="208">
      <c r="A208" s="5" t="s">
        <v>278</v>
      </c>
      <c r="B208" s="5" t="s">
        <v>89</v>
      </c>
      <c r="C208" s="5">
        <v>206139.5938</v>
      </c>
      <c r="D208" s="5">
        <f t="shared" si="1"/>
        <v>207</v>
      </c>
      <c r="E208" s="5">
        <v>51.95800018</v>
      </c>
      <c r="F208" s="5">
        <f t="shared" si="2"/>
        <v>52</v>
      </c>
      <c r="G208" s="5">
        <f t="shared" si="3"/>
        <v>107106.0105</v>
      </c>
      <c r="H208" s="5">
        <f t="shared" si="4"/>
        <v>48.04199982</v>
      </c>
      <c r="I208" s="5">
        <f t="shared" si="5"/>
        <v>48</v>
      </c>
      <c r="J208" s="5">
        <v>77.60905338</v>
      </c>
      <c r="K208" s="5">
        <f t="shared" si="9"/>
        <v>77.6</v>
      </c>
      <c r="L208" s="5">
        <v>4.979399343</v>
      </c>
      <c r="M208" s="5">
        <v>11.79691148</v>
      </c>
      <c r="N208" s="5">
        <v>5.614635794</v>
      </c>
      <c r="O208" s="5">
        <v>61.65821003</v>
      </c>
      <c r="P208" s="5">
        <v>7.128924583</v>
      </c>
      <c r="Q208" s="5">
        <v>20.92487535</v>
      </c>
      <c r="R208" s="5">
        <v>10.28799004</v>
      </c>
      <c r="S208" s="5">
        <v>92.35770519</v>
      </c>
      <c r="T208" s="5">
        <v>2.99188065</v>
      </c>
      <c r="U208" s="5">
        <v>3.356908786</v>
      </c>
      <c r="V208" s="5">
        <v>1.29350537</v>
      </c>
      <c r="W208" s="7">
        <f t="shared" si="7"/>
        <v>22</v>
      </c>
    </row>
    <row r="209">
      <c r="A209" s="5" t="s">
        <v>279</v>
      </c>
      <c r="B209" s="5" t="s">
        <v>79</v>
      </c>
      <c r="C209" s="5">
        <v>212559.4063</v>
      </c>
      <c r="D209" s="5">
        <f t="shared" si="1"/>
        <v>213</v>
      </c>
      <c r="E209" s="5">
        <v>87.07299805</v>
      </c>
      <c r="F209" s="5">
        <f t="shared" si="2"/>
        <v>87</v>
      </c>
      <c r="G209" s="5">
        <f t="shared" si="3"/>
        <v>185081.8477</v>
      </c>
      <c r="H209" s="5">
        <f t="shared" si="4"/>
        <v>12.92700195</v>
      </c>
      <c r="I209" s="5">
        <f t="shared" si="5"/>
        <v>13</v>
      </c>
      <c r="J209" s="5">
        <v>99.32085299</v>
      </c>
      <c r="K209" s="5">
        <f t="shared" si="9"/>
        <v>99.3</v>
      </c>
      <c r="L209" s="5">
        <v>0.1265490039</v>
      </c>
      <c r="M209" s="5">
        <v>0.5525980099</v>
      </c>
      <c r="N209" s="5" t="s">
        <v>25</v>
      </c>
      <c r="O209" s="5">
        <v>95.94525953</v>
      </c>
      <c r="P209" s="5">
        <v>0.9789509154</v>
      </c>
      <c r="Q209" s="5">
        <v>3.075789551</v>
      </c>
      <c r="R209" s="5" t="s">
        <v>25</v>
      </c>
      <c r="S209" s="5">
        <v>99.82200131</v>
      </c>
      <c r="T209" s="5">
        <v>0.0</v>
      </c>
      <c r="U209" s="5">
        <v>0.1779986949</v>
      </c>
      <c r="V209" s="5">
        <v>0.0</v>
      </c>
      <c r="W209" s="7">
        <f t="shared" si="7"/>
        <v>22</v>
      </c>
    </row>
    <row r="210">
      <c r="A210" s="5" t="s">
        <v>280</v>
      </c>
      <c r="B210" s="5" t="s">
        <v>89</v>
      </c>
      <c r="C210" s="5">
        <v>220892.3281</v>
      </c>
      <c r="D210" s="5">
        <f t="shared" si="1"/>
        <v>221</v>
      </c>
      <c r="E210" s="5">
        <v>37.16500092</v>
      </c>
      <c r="F210" s="5">
        <f t="shared" si="2"/>
        <v>37</v>
      </c>
      <c r="G210" s="5">
        <f t="shared" si="3"/>
        <v>82094.63577</v>
      </c>
      <c r="H210" s="5">
        <f t="shared" si="4"/>
        <v>62.83499908</v>
      </c>
      <c r="I210" s="5">
        <f t="shared" si="5"/>
        <v>63</v>
      </c>
      <c r="J210" s="5">
        <v>90.14896508</v>
      </c>
      <c r="K210" s="5">
        <f t="shared" si="9"/>
        <v>90.1</v>
      </c>
      <c r="L210" s="5">
        <v>3.822279525</v>
      </c>
      <c r="M210" s="5">
        <v>4.413307574</v>
      </c>
      <c r="N210" s="5">
        <v>1.61544782</v>
      </c>
      <c r="O210" s="5">
        <v>88.59986076</v>
      </c>
      <c r="P210" s="5">
        <v>3.852278117</v>
      </c>
      <c r="Q210" s="5">
        <v>5.174596509</v>
      </c>
      <c r="R210" s="5">
        <v>2.373264617</v>
      </c>
      <c r="S210" s="5">
        <v>92.76804985</v>
      </c>
      <c r="T210" s="5">
        <v>3.771561162</v>
      </c>
      <c r="U210" s="5">
        <v>3.126184571</v>
      </c>
      <c r="V210" s="5">
        <v>0.3342044223</v>
      </c>
      <c r="W210" s="7">
        <f t="shared" si="7"/>
        <v>22</v>
      </c>
    </row>
    <row r="211">
      <c r="A211" s="5" t="s">
        <v>281</v>
      </c>
      <c r="B211" s="5" t="s">
        <v>89</v>
      </c>
      <c r="C211" s="5">
        <v>273523.625</v>
      </c>
      <c r="D211" s="5">
        <f t="shared" si="1"/>
        <v>274</v>
      </c>
      <c r="E211" s="5">
        <v>56.64099884</v>
      </c>
      <c r="F211" s="5">
        <f t="shared" si="2"/>
        <v>57</v>
      </c>
      <c r="G211" s="5">
        <f t="shared" si="3"/>
        <v>154926.5133</v>
      </c>
      <c r="H211" s="5">
        <f t="shared" si="4"/>
        <v>43.35900116</v>
      </c>
      <c r="I211" s="5">
        <f t="shared" si="5"/>
        <v>43</v>
      </c>
      <c r="J211" s="5">
        <v>92.41534961</v>
      </c>
      <c r="K211" s="5">
        <f t="shared" si="9"/>
        <v>92.4</v>
      </c>
      <c r="L211" s="5">
        <v>0.8554746335</v>
      </c>
      <c r="M211" s="5">
        <v>5.553871666</v>
      </c>
      <c r="N211" s="5">
        <v>1.175304087</v>
      </c>
      <c r="O211" s="5">
        <v>85.66796238</v>
      </c>
      <c r="P211" s="5">
        <v>1.17809123</v>
      </c>
      <c r="Q211" s="5">
        <v>10.61491462</v>
      </c>
      <c r="R211" s="5">
        <v>2.539031772</v>
      </c>
      <c r="S211" s="5">
        <v>97.58051207</v>
      </c>
      <c r="T211" s="5">
        <v>0.6085098345</v>
      </c>
      <c r="U211" s="5">
        <v>1.679615139</v>
      </c>
      <c r="V211" s="5">
        <v>0.1313629588</v>
      </c>
      <c r="W211" s="7">
        <f t="shared" si="7"/>
        <v>22</v>
      </c>
    </row>
    <row r="212">
      <c r="A212" s="5" t="s">
        <v>282</v>
      </c>
      <c r="B212" s="5" t="s">
        <v>43</v>
      </c>
      <c r="C212" s="5">
        <v>331002.6563</v>
      </c>
      <c r="D212" s="5">
        <f t="shared" si="1"/>
        <v>332</v>
      </c>
      <c r="E212" s="5">
        <v>82.66400146</v>
      </c>
      <c r="F212" s="5">
        <f t="shared" si="2"/>
        <v>83</v>
      </c>
      <c r="G212" s="5">
        <f t="shared" si="3"/>
        <v>273620.0406</v>
      </c>
      <c r="H212" s="5">
        <f t="shared" si="4"/>
        <v>17.33599854</v>
      </c>
      <c r="I212" s="5">
        <f t="shared" si="5"/>
        <v>17</v>
      </c>
      <c r="J212" s="5">
        <v>99.88352668</v>
      </c>
      <c r="K212" s="5">
        <f t="shared" si="9"/>
        <v>99.9</v>
      </c>
      <c r="L212" s="5">
        <v>0.0</v>
      </c>
      <c r="M212" s="5">
        <v>0.1164733182</v>
      </c>
      <c r="N212" s="5">
        <v>0.0</v>
      </c>
      <c r="O212" s="5">
        <v>99.67078734</v>
      </c>
      <c r="P212" s="5">
        <v>0.0</v>
      </c>
      <c r="Q212" s="5">
        <v>0.3292126628</v>
      </c>
      <c r="R212" s="5">
        <v>0.0</v>
      </c>
      <c r="S212" s="5">
        <v>99.92814447</v>
      </c>
      <c r="T212" s="5">
        <v>0.0</v>
      </c>
      <c r="U212" s="5">
        <v>0.0718555296</v>
      </c>
      <c r="V212" s="5">
        <v>0.0</v>
      </c>
      <c r="W212" s="7">
        <f t="shared" si="7"/>
        <v>22</v>
      </c>
    </row>
    <row r="213">
      <c r="A213" s="5" t="s">
        <v>283</v>
      </c>
      <c r="B213" s="5" t="s">
        <v>89</v>
      </c>
      <c r="C213" s="5">
        <v>1380004.375</v>
      </c>
      <c r="D213" s="5">
        <f t="shared" si="1"/>
        <v>1381</v>
      </c>
      <c r="E213" s="5">
        <v>34.9260025</v>
      </c>
      <c r="F213" s="5">
        <f t="shared" si="2"/>
        <v>35</v>
      </c>
      <c r="G213" s="5">
        <f t="shared" si="3"/>
        <v>481980.3625</v>
      </c>
      <c r="H213" s="5">
        <f t="shared" si="4"/>
        <v>65.0739975</v>
      </c>
      <c r="I213" s="5">
        <f t="shared" si="5"/>
        <v>65</v>
      </c>
      <c r="J213" s="5">
        <v>90.48952503</v>
      </c>
      <c r="K213" s="5">
        <f t="shared" si="9"/>
        <v>90.5</v>
      </c>
      <c r="L213" s="5">
        <v>4.983602562</v>
      </c>
      <c r="M213" s="5">
        <v>3.963153945</v>
      </c>
      <c r="N213" s="5">
        <v>0.5637184626</v>
      </c>
      <c r="O213" s="5">
        <v>88.78250313</v>
      </c>
      <c r="P213" s="5">
        <v>5.902210054</v>
      </c>
      <c r="Q213" s="5">
        <v>4.57637573</v>
      </c>
      <c r="R213" s="5">
        <v>0.7389110856</v>
      </c>
      <c r="S213" s="5">
        <v>93.6700363</v>
      </c>
      <c r="T213" s="5">
        <v>3.272056027</v>
      </c>
      <c r="U213" s="5">
        <v>2.820607523</v>
      </c>
      <c r="V213" s="5">
        <v>0.2373001538</v>
      </c>
      <c r="W213" s="7">
        <f t="shared" si="7"/>
        <v>22</v>
      </c>
    </row>
    <row r="214">
      <c r="A214" s="5" t="s">
        <v>284</v>
      </c>
      <c r="B214" s="5" t="s">
        <v>79</v>
      </c>
      <c r="C214" s="5">
        <v>1463140.5</v>
      </c>
      <c r="D214" s="5">
        <f t="shared" si="1"/>
        <v>1464</v>
      </c>
      <c r="E214" s="5">
        <v>61.71308899</v>
      </c>
      <c r="F214" s="5">
        <f t="shared" si="2"/>
        <v>62</v>
      </c>
      <c r="G214" s="5">
        <f t="shared" si="3"/>
        <v>902949.1988</v>
      </c>
      <c r="H214" s="5">
        <f t="shared" si="4"/>
        <v>38.28691101</v>
      </c>
      <c r="I214" s="5">
        <f t="shared" si="5"/>
        <v>38</v>
      </c>
      <c r="J214" s="5">
        <v>94.26111059</v>
      </c>
      <c r="K214" s="5">
        <f t="shared" si="9"/>
        <v>94.3</v>
      </c>
      <c r="L214" s="5">
        <v>0.8147213297</v>
      </c>
      <c r="M214" s="5">
        <v>4.725451938</v>
      </c>
      <c r="N214" s="5">
        <v>0.1987161441</v>
      </c>
      <c r="O214" s="5">
        <v>89.66123351</v>
      </c>
      <c r="P214" s="5">
        <v>1.832679086</v>
      </c>
      <c r="Q214" s="5">
        <v>8.506087409</v>
      </c>
      <c r="R214" s="5">
        <v>0.0</v>
      </c>
      <c r="S214" s="5">
        <v>97.11488267</v>
      </c>
      <c r="T214" s="5">
        <v>0.1831784927</v>
      </c>
      <c r="U214" s="5">
        <v>2.37993884</v>
      </c>
      <c r="V214" s="5">
        <v>0.322</v>
      </c>
      <c r="W214" s="7">
        <f t="shared" si="7"/>
        <v>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5.38"/>
    <col customWidth="1" min="3" max="3" width="21.75"/>
    <col customWidth="1" min="4" max="5" width="19.38"/>
    <col customWidth="1" min="8" max="8" width="25.13"/>
    <col customWidth="1" min="9" max="9" width="19.63"/>
  </cols>
  <sheetData>
    <row r="1">
      <c r="A1" s="5">
        <v>1.0</v>
      </c>
      <c r="B1" s="6" t="s">
        <v>52</v>
      </c>
      <c r="C1" s="5"/>
      <c r="D1" s="5"/>
      <c r="E1" s="1"/>
      <c r="G1" s="5">
        <v>3.0</v>
      </c>
      <c r="H1" s="6" t="s">
        <v>55</v>
      </c>
      <c r="K1" s="11"/>
      <c r="L1" s="11"/>
      <c r="M1" s="11"/>
      <c r="N1" s="11"/>
      <c r="O1" s="11"/>
      <c r="Q1" s="5" t="s">
        <v>285</v>
      </c>
      <c r="R1" s="6" t="s">
        <v>286</v>
      </c>
    </row>
    <row r="2">
      <c r="A2" s="1"/>
      <c r="B2" s="1"/>
      <c r="C2" s="1"/>
      <c r="D2" s="1"/>
      <c r="E2" s="1"/>
      <c r="H2" s="5"/>
      <c r="K2" s="11"/>
      <c r="L2" s="11"/>
      <c r="M2" s="11"/>
      <c r="N2" s="11"/>
      <c r="O2" s="11"/>
      <c r="R2" s="5"/>
    </row>
    <row r="3">
      <c r="B3" s="12" t="s">
        <v>287</v>
      </c>
      <c r="C3" s="13" t="s">
        <v>288</v>
      </c>
      <c r="D3" s="14" t="s">
        <v>289</v>
      </c>
      <c r="K3" s="11"/>
      <c r="L3" s="11"/>
      <c r="M3" s="11"/>
      <c r="N3" s="11"/>
      <c r="O3" s="11"/>
    </row>
    <row r="4">
      <c r="B4" s="15">
        <v>7.821E9</v>
      </c>
      <c r="C4" s="16">
        <f>'Pivot Table 1'!X3*1000</f>
        <v>7786695108</v>
      </c>
      <c r="D4" s="17">
        <f>ABS(B4-C4)/((B4+C4)/2)*100</f>
        <v>0.4395894719</v>
      </c>
      <c r="H4" s="18" t="s">
        <v>290</v>
      </c>
      <c r="I4" s="19" t="s">
        <v>291</v>
      </c>
      <c r="J4" s="19" t="s">
        <v>292</v>
      </c>
      <c r="K4" s="19" t="s">
        <v>293</v>
      </c>
      <c r="L4" s="19" t="s">
        <v>294</v>
      </c>
      <c r="M4" s="20" t="s">
        <v>295</v>
      </c>
      <c r="N4" s="20" t="s">
        <v>296</v>
      </c>
      <c r="O4" s="21" t="s">
        <v>297</v>
      </c>
    </row>
    <row r="5">
      <c r="H5" s="22" t="s">
        <v>9</v>
      </c>
      <c r="I5" s="23">
        <f>min('Data_Estimates-on-the-use-of-wa'!J:J)</f>
        <v>11.387979</v>
      </c>
      <c r="J5" s="23">
        <f>QUARTILE('Data_Estimates-on-the-use-of-wa'!J:J,1)</f>
        <v>85.49561324</v>
      </c>
      <c r="K5" s="23">
        <f>QUARTILE('Data_Estimates-on-the-use-of-wa'!J:J,3)</f>
        <v>99.88752524</v>
      </c>
      <c r="L5" s="23">
        <v>100.0</v>
      </c>
      <c r="M5" s="24">
        <f>MODE('Data_Estimates-on-the-use-of-wa'!J:J)</f>
        <v>100</v>
      </c>
      <c r="N5" s="24">
        <f>AVERAGE('Data_Estimates-on-the-use-of-wa'!J:J)</f>
        <v>89.49898126</v>
      </c>
      <c r="O5" s="25">
        <f t="shared" ref="O5:O16" si="1">K5-J5</f>
        <v>14.39191201</v>
      </c>
    </row>
    <row r="6">
      <c r="A6" s="5">
        <v>2.0</v>
      </c>
      <c r="B6" s="6" t="s">
        <v>54</v>
      </c>
      <c r="H6" s="26" t="s">
        <v>11</v>
      </c>
      <c r="I6" s="27">
        <f>Min('Data_Estimates-on-the-use-of-wa'!L:L)</f>
        <v>0</v>
      </c>
      <c r="J6" s="27">
        <f>quartile('Data_Estimates-on-the-use-of-wa'!L:L,1)</f>
        <v>0</v>
      </c>
      <c r="K6" s="27">
        <f>QUARTILE('Data_Estimates-on-the-use-of-wa'!L:L,3)</f>
        <v>4.160549452</v>
      </c>
      <c r="L6" s="27">
        <f>max('Data_Estimates-on-the-use-of-wa'!L:L)</f>
        <v>37.42696287</v>
      </c>
      <c r="M6" s="27">
        <f>MODE('Data_Estimates-on-the-use-of-wa'!L:L)</f>
        <v>0</v>
      </c>
      <c r="N6" s="27">
        <f>AVERAGE('Data_Estimates-on-the-use-of-wa'!L:L)</f>
        <v>3.789232131</v>
      </c>
      <c r="O6" s="28">
        <f t="shared" si="1"/>
        <v>4.160549452</v>
      </c>
    </row>
    <row r="7">
      <c r="H7" s="26" t="s">
        <v>12</v>
      </c>
      <c r="I7" s="29">
        <f>min('Data_Estimates-on-the-use-of-wa'!M:M)</f>
        <v>0</v>
      </c>
      <c r="J7" s="29">
        <f>QUARTILE('Data_Estimates-on-the-use-of-wa'!M:M,1)</f>
        <v>0.03179831201</v>
      </c>
      <c r="K7" s="29">
        <f>QUARTILE('Data_Estimates-on-the-use-of-wa'!M:M,3)</f>
        <v>5.279309922</v>
      </c>
      <c r="L7" s="29">
        <f>max('Data_Estimates-on-the-use-of-wa'!M:M)</f>
        <v>33.53911377</v>
      </c>
      <c r="M7" s="27">
        <f>MODE('Data_Estimates-on-the-use-of-wa'!M:M)</f>
        <v>0</v>
      </c>
      <c r="N7" s="27">
        <f>AVERAGE('Data_Estimates-on-the-use-of-wa'!M:M)</f>
        <v>4.403166925</v>
      </c>
      <c r="O7" s="28">
        <f t="shared" si="1"/>
        <v>5.24751161</v>
      </c>
    </row>
    <row r="8">
      <c r="B8" s="12" t="s">
        <v>298</v>
      </c>
      <c r="C8" s="13" t="s">
        <v>299</v>
      </c>
      <c r="D8" s="13" t="s">
        <v>300</v>
      </c>
      <c r="E8" s="14" t="s">
        <v>301</v>
      </c>
      <c r="H8" s="26" t="s">
        <v>13</v>
      </c>
      <c r="I8" s="29">
        <f>min('Data_Estimates-on-the-use-of-wa'!N:N)</f>
        <v>0</v>
      </c>
      <c r="J8" s="29">
        <f>QUARTILE('Data_Estimates-on-the-use-of-wa'!N:N,1)</f>
        <v>0</v>
      </c>
      <c r="K8" s="29">
        <f>QUARTILE('Data_Estimates-on-the-use-of-wa'!N:N,3)</f>
        <v>1.989835257</v>
      </c>
      <c r="L8" s="29">
        <f>max('Data_Estimates-on-the-use-of-wa'!N:N)</f>
        <v>94.42972</v>
      </c>
      <c r="M8" s="27">
        <f>mode('Data_Estimates-on-the-use-of-wa'!N:N)</f>
        <v>0</v>
      </c>
      <c r="N8" s="27">
        <f>average('Data_Estimates-on-the-use-of-wa'!N:N)</f>
        <v>2.784171535</v>
      </c>
      <c r="O8" s="28">
        <f t="shared" si="1"/>
        <v>1.989835257</v>
      </c>
    </row>
    <row r="9">
      <c r="B9" s="30">
        <f>'Pivot Table 1'!Y3*1000</f>
        <v>4375314843</v>
      </c>
      <c r="C9" s="16">
        <f>C4-B9</f>
        <v>3411380265</v>
      </c>
      <c r="D9" s="16">
        <f>B9/C4*100</f>
        <v>56.18962579</v>
      </c>
      <c r="E9" s="17">
        <f>100-D9</f>
        <v>43.81037421</v>
      </c>
      <c r="H9" s="26" t="s">
        <v>14</v>
      </c>
      <c r="I9" s="29">
        <f>MIN('Data_Estimates-on-the-use-of-wa'!O:O)</f>
        <v>5.221136889</v>
      </c>
      <c r="J9" s="29">
        <f>QUARTILE('Data_Estimates-on-the-use-of-wa'!O:O,1)</f>
        <v>63.3543783</v>
      </c>
      <c r="K9" s="29">
        <f>QUARTILE('Data_Estimates-on-the-use-of-wa'!O:O,3)</f>
        <v>99.11924249</v>
      </c>
      <c r="L9" s="29">
        <f>MAX('Data_Estimates-on-the-use-of-wa'!O:O)</f>
        <v>100</v>
      </c>
      <c r="M9" s="27">
        <f>MODE('Data_Estimates-on-the-use-of-wa'!O:O)</f>
        <v>100</v>
      </c>
      <c r="N9" s="27">
        <f>AVERAGE('Data_Estimates-on-the-use-of-wa'!O:O)</f>
        <v>80.07509849</v>
      </c>
      <c r="O9" s="28">
        <f t="shared" si="1"/>
        <v>35.76486419</v>
      </c>
    </row>
    <row r="10">
      <c r="H10" s="26" t="s">
        <v>15</v>
      </c>
      <c r="I10" s="27">
        <f>min('Data_Estimates-on-the-use-of-wa'!P:P)</f>
        <v>0</v>
      </c>
      <c r="J10" s="27">
        <f>QUARTILE('Data_Estimates-on-the-use-of-wa'!P:P,1)</f>
        <v>0</v>
      </c>
      <c r="K10" s="27">
        <f>QUARTILE('Data_Estimates-on-the-use-of-wa'!P:P,3)</f>
        <v>8.754546827</v>
      </c>
      <c r="L10" s="27">
        <f>max('Data_Estimates-on-the-use-of-wa'!P:P)</f>
        <v>42.16438068</v>
      </c>
      <c r="M10" s="27">
        <f>MODE('Data_Estimates-on-the-use-of-wa'!P:P)</f>
        <v>0</v>
      </c>
      <c r="N10" s="27">
        <f>AVERAGE('Data_Estimates-on-the-use-of-wa'!P:P)</f>
        <v>5.912316342</v>
      </c>
      <c r="O10" s="28">
        <f t="shared" si="1"/>
        <v>8.754546827</v>
      </c>
    </row>
    <row r="11">
      <c r="H11" s="26" t="s">
        <v>16</v>
      </c>
      <c r="I11" s="27">
        <f>min('Data_Estimates-on-the-use-of-wa'!Q:Q)</f>
        <v>0</v>
      </c>
      <c r="J11" s="27">
        <f>QUARTILE('Data_Estimates-on-the-use-of-wa'!Q:Q,1)</f>
        <v>0.1156787127</v>
      </c>
      <c r="K11" s="27">
        <f>QUARTILE('Data_Estimates-on-the-use-of-wa'!Q:Q,3)</f>
        <v>13.2663393</v>
      </c>
      <c r="L11" s="27">
        <f>max('Data_Estimates-on-the-use-of-wa'!Q:Q)</f>
        <v>51.21598167</v>
      </c>
      <c r="M11" s="27">
        <f>MODE('Data_Estimates-on-the-use-of-wa'!Q:Q)</f>
        <v>0</v>
      </c>
      <c r="N11" s="27">
        <f>AVERAGE('Data_Estimates-on-the-use-of-wa'!Q:Q)</f>
        <v>8.6486528</v>
      </c>
      <c r="O11" s="28">
        <f t="shared" si="1"/>
        <v>13.15066058</v>
      </c>
    </row>
    <row r="12">
      <c r="H12" s="26" t="s">
        <v>17</v>
      </c>
      <c r="I12" s="27">
        <f>min('Data_Estimates-on-the-use-of-wa'!R:R)</f>
        <v>0</v>
      </c>
      <c r="J12" s="27">
        <f>quartile('Data_Estimates-on-the-use-of-wa'!R:R,1)</f>
        <v>0</v>
      </c>
      <c r="K12" s="27">
        <f>quartile('Data_Estimates-on-the-use-of-wa'!R:R,3)</f>
        <v>6.673727229</v>
      </c>
      <c r="L12" s="27">
        <f>max('Data_Estimates-on-the-use-of-wa'!R:R)</f>
        <v>93.1</v>
      </c>
      <c r="M12" s="27">
        <f>MODE('Data_Estimates-on-the-use-of-wa'!R:R)</f>
        <v>0</v>
      </c>
      <c r="N12" s="27">
        <f>AVERAGE('Data_Estimates-on-the-use-of-wa'!R:R)</f>
        <v>5.72829936</v>
      </c>
      <c r="O12" s="28">
        <f t="shared" si="1"/>
        <v>6.673727229</v>
      </c>
    </row>
    <row r="13">
      <c r="H13" s="26" t="s">
        <v>18</v>
      </c>
      <c r="I13" s="27">
        <f>min('Data_Estimates-on-the-use-of-wa'!S:S)</f>
        <v>0.143540536</v>
      </c>
      <c r="J13" s="27">
        <f>QUARTILE('Data_Estimates-on-the-use-of-wa'!S:S,1)</f>
        <v>91.81618243</v>
      </c>
      <c r="K13" s="27">
        <f>QUARTILE('Data_Estimates-on-the-use-of-wa'!S:S,3)</f>
        <v>99.94941803</v>
      </c>
      <c r="L13" s="27">
        <f>max('Data_Estimates-on-the-use-of-wa'!S:S)</f>
        <v>100</v>
      </c>
      <c r="M13" s="27">
        <f>MODE('Data_Estimates-on-the-use-of-wa'!S:S)</f>
        <v>100</v>
      </c>
      <c r="N13" s="27">
        <f>AVERAGE('Data_Estimates-on-the-use-of-wa'!S:S)</f>
        <v>92.83957987</v>
      </c>
      <c r="O13" s="28">
        <f t="shared" si="1"/>
        <v>8.133235605</v>
      </c>
    </row>
    <row r="14">
      <c r="H14" s="26" t="s">
        <v>19</v>
      </c>
      <c r="I14" s="27">
        <f>min('Data_Estimates-on-the-use-of-wa'!T:T)</f>
        <v>0</v>
      </c>
      <c r="J14" s="27">
        <f>QUARTILE('Data_Estimates-on-the-use-of-wa'!T:T,1)</f>
        <v>0</v>
      </c>
      <c r="K14" s="27">
        <f>QUARTILE('Data_Estimates-on-the-use-of-wa'!T:T,3)</f>
        <v>3.822625342</v>
      </c>
      <c r="L14" s="27">
        <f>max('Data_Estimates-on-the-use-of-wa'!T:T)</f>
        <v>34.27978009</v>
      </c>
      <c r="M14" s="27">
        <f>MODE('Data_Estimates-on-the-use-of-wa'!T:T)</f>
        <v>0</v>
      </c>
      <c r="N14" s="27">
        <f>AVERAGE('Data_Estimates-on-the-use-of-wa'!T:T)</f>
        <v>3.199784192</v>
      </c>
      <c r="O14" s="28">
        <f t="shared" si="1"/>
        <v>3.822625342</v>
      </c>
    </row>
    <row r="15">
      <c r="H15" s="26" t="s">
        <v>20</v>
      </c>
      <c r="I15" s="27">
        <f>min('Data_Estimates-on-the-use-of-wa'!U:U)</f>
        <v>0</v>
      </c>
      <c r="J15" s="27">
        <f>QUARTILE('Data_Estimates-on-the-use-of-wa'!U:U,1)</f>
        <v>0</v>
      </c>
      <c r="K15" s="27">
        <f>QUARTILE('Data_Estimates-on-the-use-of-wa'!U:U,3)</f>
        <v>1.9704814</v>
      </c>
      <c r="L15" s="27">
        <f>max('Data_Estimates-on-the-use-of-wa'!U:U)</f>
        <v>17.72203473</v>
      </c>
      <c r="M15" s="27">
        <f>mode('Data_Estimates-on-the-use-of-wa'!U:U)</f>
        <v>0</v>
      </c>
      <c r="N15" s="27">
        <f>AVERAGE('Data_Estimates-on-the-use-of-wa'!U:U)</f>
        <v>1.591071739</v>
      </c>
      <c r="O15" s="28">
        <f t="shared" si="1"/>
        <v>1.9704814</v>
      </c>
    </row>
    <row r="16">
      <c r="H16" s="15" t="s">
        <v>21</v>
      </c>
      <c r="I16" s="31">
        <f>min('Data_Estimates-on-the-use-of-wa'!V:V)</f>
        <v>0</v>
      </c>
      <c r="J16" s="31">
        <f>QUARTILE('Data_Estimates-on-the-use-of-wa'!V:V,1)</f>
        <v>0</v>
      </c>
      <c r="K16" s="31">
        <f>quartile('Data_Estimates-on-the-use-of-wa'!V:V,3)</f>
        <v>0.1522915923</v>
      </c>
      <c r="L16" s="31">
        <f>max('Data_Estimates-on-the-use-of-wa'!V:V)</f>
        <v>6.362160532</v>
      </c>
      <c r="M16" s="31">
        <f>mode('Data_Estimates-on-the-use-of-wa'!V:V)</f>
        <v>0</v>
      </c>
      <c r="N16" s="31">
        <f>AVERAGE('Data_Estimates-on-the-use-of-wa'!V:V)</f>
        <v>0.3032582249</v>
      </c>
      <c r="O16" s="32">
        <f t="shared" si="1"/>
        <v>0.1522915923</v>
      </c>
    </row>
    <row r="17">
      <c r="F17" s="33"/>
      <c r="G17" s="33"/>
      <c r="H17" s="33"/>
    </row>
    <row r="18">
      <c r="F18" s="33"/>
      <c r="G18" s="33"/>
      <c r="H18" s="33"/>
      <c r="J18" s="5"/>
    </row>
    <row r="19">
      <c r="F19" s="33"/>
      <c r="G19" s="33"/>
      <c r="H19" s="33"/>
    </row>
    <row r="20">
      <c r="F20" s="33"/>
      <c r="G20" s="33"/>
      <c r="H20" s="33"/>
    </row>
    <row r="21">
      <c r="F21" s="33"/>
      <c r="G21" s="33"/>
      <c r="H21" s="33"/>
    </row>
    <row r="22">
      <c r="F22" s="33"/>
      <c r="G22" s="33"/>
      <c r="H22" s="33"/>
    </row>
    <row r="23">
      <c r="F23" s="33"/>
      <c r="G23" s="33"/>
      <c r="H23" s="33"/>
    </row>
    <row r="24">
      <c r="F24" s="33"/>
      <c r="G24" s="33"/>
      <c r="H24" s="33"/>
    </row>
    <row r="25">
      <c r="F25" s="33"/>
      <c r="G25" s="33"/>
      <c r="H25" s="33"/>
    </row>
    <row r="26">
      <c r="F26" s="33"/>
      <c r="G26" s="33"/>
      <c r="H26" s="33"/>
    </row>
    <row r="27">
      <c r="F27" s="33"/>
      <c r="G27" s="33"/>
      <c r="H27" s="33"/>
    </row>
    <row r="28">
      <c r="F28" s="33"/>
      <c r="G28" s="33"/>
      <c r="H28" s="33"/>
    </row>
    <row r="29">
      <c r="B29" s="6"/>
      <c r="E29" s="11"/>
      <c r="F29" s="11"/>
      <c r="G29" s="11"/>
      <c r="H29" s="11"/>
      <c r="I29" s="11"/>
    </row>
    <row r="30">
      <c r="E30" s="11"/>
      <c r="F30" s="11"/>
      <c r="G30" s="11"/>
      <c r="H30" s="11"/>
      <c r="I30" s="11"/>
    </row>
    <row r="31">
      <c r="E31" s="11"/>
      <c r="F31" s="11"/>
      <c r="G31" s="11"/>
      <c r="H31" s="11"/>
      <c r="I31" s="11"/>
    </row>
    <row r="32">
      <c r="B32" s="11"/>
      <c r="C32" s="11"/>
      <c r="D32" s="11"/>
      <c r="E32" s="11"/>
      <c r="F32" s="11"/>
      <c r="G32" s="1"/>
      <c r="H32" s="1"/>
      <c r="I32" s="1"/>
    </row>
    <row r="33">
      <c r="B33" s="5"/>
      <c r="C33" s="29"/>
      <c r="D33" s="29"/>
      <c r="E33" s="29"/>
      <c r="F33" s="29"/>
      <c r="G33" s="27"/>
      <c r="H33" s="27"/>
      <c r="I33" s="27"/>
    </row>
    <row r="34">
      <c r="B34" s="5"/>
      <c r="C34" s="27"/>
      <c r="D34" s="27"/>
      <c r="E34" s="27"/>
      <c r="F34" s="27"/>
      <c r="G34" s="27"/>
      <c r="H34" s="27"/>
      <c r="I34" s="27"/>
    </row>
    <row r="35">
      <c r="B35" s="5"/>
      <c r="C35" s="29"/>
      <c r="D35" s="29"/>
      <c r="E35" s="29"/>
      <c r="F35" s="29"/>
      <c r="G35" s="27"/>
      <c r="H35" s="27"/>
      <c r="I35" s="27"/>
    </row>
    <row r="36">
      <c r="B36" s="5"/>
      <c r="C36" s="29"/>
      <c r="D36" s="29"/>
      <c r="E36" s="29"/>
      <c r="F36" s="29"/>
      <c r="G36" s="27"/>
      <c r="H36" s="27"/>
      <c r="I36" s="27"/>
    </row>
    <row r="37">
      <c r="B37" s="5"/>
      <c r="C37" s="29"/>
      <c r="D37" s="29"/>
      <c r="E37" s="29"/>
      <c r="F37" s="29"/>
      <c r="G37" s="27"/>
      <c r="H37" s="27"/>
      <c r="I37" s="27"/>
    </row>
    <row r="38">
      <c r="B38" s="5"/>
      <c r="C38" s="27"/>
      <c r="D38" s="27"/>
      <c r="E38" s="27"/>
      <c r="F38" s="27"/>
      <c r="G38" s="27"/>
      <c r="H38" s="27"/>
      <c r="I38" s="27"/>
    </row>
    <row r="39">
      <c r="B39" s="5"/>
      <c r="C39" s="27"/>
      <c r="D39" s="27"/>
      <c r="E39" s="27"/>
      <c r="F39" s="27"/>
      <c r="G39" s="27"/>
      <c r="H39" s="27"/>
      <c r="I39" s="27"/>
    </row>
    <row r="40">
      <c r="B40" s="5"/>
      <c r="C40" s="27"/>
      <c r="D40" s="27"/>
      <c r="E40" s="27"/>
      <c r="F40" s="27"/>
      <c r="G40" s="27"/>
      <c r="H40" s="27"/>
      <c r="I40" s="27"/>
    </row>
    <row r="41">
      <c r="B41" s="5"/>
      <c r="C41" s="27"/>
      <c r="D41" s="27"/>
      <c r="E41" s="27"/>
      <c r="F41" s="27"/>
      <c r="G41" s="27"/>
      <c r="H41" s="27"/>
      <c r="I41" s="27"/>
    </row>
    <row r="42">
      <c r="B42" s="5"/>
      <c r="C42" s="27"/>
      <c r="D42" s="27"/>
      <c r="E42" s="27"/>
      <c r="F42" s="27"/>
      <c r="G42" s="27"/>
      <c r="H42" s="27"/>
      <c r="I42" s="27"/>
    </row>
    <row r="43">
      <c r="B43" s="5"/>
      <c r="C43" s="27"/>
      <c r="D43" s="27"/>
      <c r="E43" s="27"/>
      <c r="F43" s="27"/>
      <c r="G43" s="27"/>
      <c r="H43" s="27"/>
      <c r="I43" s="27"/>
    </row>
    <row r="44">
      <c r="B44" s="5"/>
      <c r="C44" s="27"/>
      <c r="D44" s="27"/>
      <c r="E44" s="27"/>
      <c r="F44" s="27"/>
      <c r="G44" s="27"/>
      <c r="H44" s="27"/>
      <c r="I44" s="27"/>
    </row>
    <row r="45">
      <c r="A45" s="33"/>
      <c r="B45" s="33"/>
    </row>
    <row r="46">
      <c r="A46" s="33"/>
      <c r="B46" s="33"/>
    </row>
    <row r="47">
      <c r="A47" s="33"/>
      <c r="B47" s="33"/>
    </row>
    <row r="48">
      <c r="A48" s="33"/>
      <c r="B48" s="33"/>
    </row>
    <row r="49">
      <c r="A49" s="33"/>
      <c r="B49" s="33"/>
    </row>
    <row r="50">
      <c r="A50" s="33"/>
      <c r="B50" s="33"/>
    </row>
    <row r="51">
      <c r="A51" s="33"/>
      <c r="B51" s="33"/>
    </row>
    <row r="52">
      <c r="A52" s="33"/>
      <c r="B52" s="33"/>
    </row>
    <row r="53">
      <c r="A53" s="33"/>
      <c r="B53" s="33"/>
    </row>
    <row r="54">
      <c r="A54" s="33"/>
      <c r="B54" s="33"/>
    </row>
    <row r="55">
      <c r="A55" s="33"/>
      <c r="B55" s="33"/>
    </row>
    <row r="56">
      <c r="A56" s="33"/>
      <c r="B56" s="33"/>
    </row>
    <row r="57">
      <c r="A57" s="33"/>
      <c r="B57" s="33"/>
    </row>
    <row r="58">
      <c r="A58" s="33"/>
      <c r="B58" s="33"/>
    </row>
    <row r="59">
      <c r="A59" s="33"/>
      <c r="B59" s="33"/>
    </row>
    <row r="60">
      <c r="A60" s="33"/>
      <c r="B60" s="33"/>
    </row>
    <row r="61">
      <c r="A61" s="33"/>
      <c r="B61" s="33"/>
    </row>
    <row r="62">
      <c r="A62" s="33"/>
      <c r="B62" s="33"/>
    </row>
    <row r="63">
      <c r="A63" s="33"/>
      <c r="B63" s="33"/>
    </row>
    <row r="64">
      <c r="A64" s="33"/>
      <c r="B64" s="33"/>
    </row>
    <row r="65">
      <c r="F65" s="33"/>
      <c r="G65" s="33"/>
      <c r="H65" s="33"/>
    </row>
    <row r="66">
      <c r="F66" s="33"/>
      <c r="G66" s="33"/>
      <c r="H66" s="33"/>
    </row>
    <row r="67">
      <c r="F67" s="33"/>
      <c r="G67" s="33"/>
      <c r="H67" s="33"/>
    </row>
    <row r="68">
      <c r="F68" s="33"/>
      <c r="G68" s="33"/>
      <c r="H68" s="33"/>
    </row>
    <row r="69">
      <c r="F69" s="33"/>
      <c r="G69" s="33"/>
      <c r="H69" s="33"/>
    </row>
    <row r="70">
      <c r="F70" s="33"/>
      <c r="G70" s="33"/>
      <c r="H70" s="33"/>
    </row>
    <row r="71">
      <c r="F71" s="33"/>
      <c r="G71" s="33"/>
      <c r="H71" s="33"/>
    </row>
    <row r="72">
      <c r="F72" s="33"/>
      <c r="G72" s="33"/>
      <c r="H72" s="33"/>
    </row>
    <row r="73">
      <c r="F73" s="33"/>
      <c r="G73" s="33"/>
      <c r="H73" s="33"/>
    </row>
    <row r="74">
      <c r="F74" s="33"/>
      <c r="G74" s="33"/>
      <c r="H74" s="33"/>
    </row>
    <row r="75">
      <c r="F75" s="33"/>
      <c r="G75" s="33"/>
      <c r="H75" s="33"/>
    </row>
    <row r="76">
      <c r="F76" s="33"/>
      <c r="G76" s="33"/>
      <c r="H76" s="33"/>
    </row>
    <row r="77">
      <c r="F77" s="33"/>
      <c r="G77" s="33"/>
      <c r="H77" s="33"/>
    </row>
    <row r="78">
      <c r="F78" s="33"/>
      <c r="G78" s="33"/>
      <c r="H78" s="33"/>
    </row>
    <row r="79">
      <c r="F79" s="33"/>
      <c r="G79" s="33"/>
      <c r="H79" s="33"/>
    </row>
    <row r="80">
      <c r="F80" s="33"/>
      <c r="G80" s="33"/>
      <c r="H80" s="33"/>
    </row>
    <row r="81">
      <c r="F81" s="33"/>
      <c r="G81" s="33"/>
      <c r="H81" s="33"/>
    </row>
    <row r="82">
      <c r="F82" s="33"/>
      <c r="G82" s="33"/>
      <c r="H82" s="33"/>
    </row>
    <row r="83">
      <c r="F83" s="33"/>
      <c r="G83" s="33"/>
      <c r="H83" s="33"/>
    </row>
    <row r="84">
      <c r="F84" s="33"/>
      <c r="G84" s="33"/>
      <c r="H84" s="33"/>
    </row>
    <row r="85">
      <c r="F85" s="33"/>
      <c r="G85" s="33"/>
      <c r="H85" s="33"/>
    </row>
    <row r="86">
      <c r="F86" s="33"/>
      <c r="G86" s="33"/>
      <c r="H86" s="33"/>
    </row>
    <row r="87">
      <c r="F87" s="33"/>
      <c r="G87" s="33"/>
      <c r="H87" s="33"/>
    </row>
    <row r="88">
      <c r="F88" s="33"/>
      <c r="G88" s="33"/>
      <c r="H88" s="33"/>
    </row>
    <row r="89">
      <c r="F89" s="33"/>
      <c r="G89" s="33"/>
      <c r="H89" s="33"/>
    </row>
    <row r="90">
      <c r="F90" s="33"/>
      <c r="G90" s="33"/>
      <c r="H90" s="33"/>
    </row>
    <row r="91">
      <c r="F91" s="33"/>
      <c r="G91" s="33"/>
      <c r="H91" s="33"/>
    </row>
    <row r="92">
      <c r="F92" s="33"/>
      <c r="G92" s="33"/>
      <c r="H92" s="33"/>
    </row>
    <row r="93">
      <c r="F93" s="33"/>
      <c r="G93" s="33"/>
      <c r="H93" s="33"/>
    </row>
    <row r="94">
      <c r="F94" s="33"/>
      <c r="G94" s="33"/>
      <c r="H94" s="33"/>
    </row>
    <row r="95">
      <c r="F95" s="33"/>
      <c r="G95" s="33"/>
      <c r="H95" s="33"/>
    </row>
    <row r="96">
      <c r="F96" s="33"/>
      <c r="G96" s="33"/>
      <c r="H96" s="33"/>
    </row>
    <row r="97">
      <c r="F97" s="33"/>
      <c r="G97" s="33"/>
      <c r="H97" s="33"/>
    </row>
    <row r="98">
      <c r="F98" s="33"/>
      <c r="G98" s="33"/>
      <c r="H98" s="33"/>
    </row>
    <row r="99">
      <c r="F99" s="33"/>
      <c r="G99" s="33"/>
      <c r="H99" s="33"/>
    </row>
    <row r="100">
      <c r="F100" s="33"/>
      <c r="G100" s="33"/>
      <c r="H100" s="33"/>
    </row>
    <row r="101">
      <c r="F101" s="33"/>
      <c r="G101" s="33"/>
      <c r="H101" s="33"/>
    </row>
    <row r="102">
      <c r="F102" s="33"/>
      <c r="G102" s="33"/>
      <c r="H102" s="33"/>
    </row>
    <row r="103">
      <c r="F103" s="33"/>
      <c r="G103" s="33"/>
      <c r="H103" s="33"/>
    </row>
    <row r="104">
      <c r="F104" s="33"/>
      <c r="G104" s="33"/>
      <c r="H104" s="33"/>
    </row>
    <row r="105">
      <c r="F105" s="33"/>
      <c r="G105" s="33"/>
      <c r="H105" s="33"/>
    </row>
    <row r="106">
      <c r="F106" s="33"/>
      <c r="G106" s="33"/>
      <c r="H106" s="33"/>
    </row>
    <row r="107">
      <c r="F107" s="33"/>
      <c r="G107" s="33"/>
      <c r="H107" s="33"/>
    </row>
    <row r="108">
      <c r="F108" s="33"/>
      <c r="G108" s="33"/>
      <c r="H108" s="33"/>
    </row>
    <row r="109">
      <c r="F109" s="33"/>
      <c r="G109" s="33"/>
      <c r="H109" s="33"/>
    </row>
    <row r="110">
      <c r="F110" s="33"/>
      <c r="G110" s="33"/>
      <c r="H110" s="33"/>
    </row>
    <row r="111">
      <c r="F111" s="33"/>
      <c r="G111" s="33"/>
      <c r="H111" s="33"/>
    </row>
    <row r="112">
      <c r="F112" s="33"/>
      <c r="G112" s="33"/>
      <c r="H112" s="33"/>
    </row>
    <row r="113">
      <c r="F113" s="33"/>
      <c r="G113" s="33"/>
      <c r="H113" s="33"/>
    </row>
    <row r="114">
      <c r="F114" s="33"/>
      <c r="G114" s="33"/>
      <c r="H114" s="33"/>
    </row>
    <row r="115">
      <c r="F115" s="33"/>
      <c r="G115" s="33"/>
      <c r="H115" s="33"/>
    </row>
    <row r="116">
      <c r="F116" s="33"/>
      <c r="G116" s="33"/>
      <c r="H116" s="33"/>
    </row>
    <row r="117">
      <c r="F117" s="33"/>
      <c r="G117" s="33"/>
      <c r="H117" s="33"/>
    </row>
    <row r="118">
      <c r="F118" s="33"/>
      <c r="G118" s="33"/>
      <c r="H118" s="33"/>
    </row>
    <row r="119">
      <c r="F119" s="33"/>
      <c r="G119" s="33"/>
      <c r="H119" s="33"/>
    </row>
    <row r="120">
      <c r="F120" s="33"/>
      <c r="G120" s="33"/>
      <c r="H120" s="33"/>
    </row>
    <row r="121">
      <c r="F121" s="33"/>
      <c r="G121" s="33"/>
      <c r="H121" s="33"/>
    </row>
    <row r="122">
      <c r="F122" s="33"/>
      <c r="G122" s="33"/>
      <c r="H122" s="33"/>
    </row>
    <row r="123">
      <c r="F123" s="33"/>
      <c r="G123" s="33"/>
      <c r="H123" s="33"/>
    </row>
    <row r="124">
      <c r="F124" s="33"/>
      <c r="G124" s="33"/>
      <c r="H124" s="33"/>
    </row>
    <row r="125">
      <c r="F125" s="33"/>
      <c r="G125" s="33"/>
      <c r="H125" s="33"/>
    </row>
    <row r="126">
      <c r="F126" s="33"/>
      <c r="G126" s="33"/>
      <c r="H126" s="33"/>
    </row>
    <row r="127">
      <c r="F127" s="33"/>
      <c r="G127" s="33"/>
      <c r="H127" s="33"/>
    </row>
    <row r="128">
      <c r="F128" s="33"/>
      <c r="G128" s="33"/>
      <c r="H128" s="33"/>
    </row>
    <row r="129">
      <c r="F129" s="33"/>
      <c r="G129" s="33"/>
      <c r="H129" s="33"/>
    </row>
    <row r="130">
      <c r="F130" s="33"/>
      <c r="G130" s="33"/>
      <c r="H130" s="33"/>
    </row>
    <row r="131">
      <c r="F131" s="33"/>
      <c r="G131" s="33"/>
      <c r="H131" s="33"/>
    </row>
    <row r="132">
      <c r="F132" s="33"/>
      <c r="G132" s="33"/>
      <c r="H132" s="33"/>
    </row>
    <row r="133">
      <c r="F133" s="33"/>
      <c r="G133" s="33"/>
      <c r="H133" s="33"/>
    </row>
    <row r="134">
      <c r="F134" s="33"/>
      <c r="G134" s="33"/>
      <c r="H134" s="33"/>
    </row>
    <row r="135">
      <c r="F135" s="33"/>
      <c r="G135" s="33"/>
      <c r="H135" s="33"/>
    </row>
    <row r="136">
      <c r="F136" s="33"/>
      <c r="G136" s="33"/>
      <c r="H136" s="33"/>
    </row>
    <row r="137">
      <c r="F137" s="33"/>
      <c r="G137" s="33"/>
      <c r="H137" s="33"/>
    </row>
    <row r="138">
      <c r="F138" s="33"/>
      <c r="G138" s="33"/>
      <c r="H138" s="33"/>
    </row>
    <row r="139">
      <c r="F139" s="33"/>
      <c r="G139" s="33"/>
      <c r="H139" s="33"/>
    </row>
    <row r="140">
      <c r="F140" s="33"/>
      <c r="G140" s="33"/>
      <c r="H140" s="33"/>
    </row>
    <row r="141">
      <c r="F141" s="33"/>
      <c r="G141" s="33"/>
      <c r="H141" s="33"/>
    </row>
    <row r="142">
      <c r="F142" s="33"/>
      <c r="G142" s="33"/>
      <c r="H142" s="33"/>
    </row>
    <row r="143">
      <c r="F143" s="33"/>
      <c r="G143" s="33"/>
      <c r="H143" s="33"/>
    </row>
    <row r="144">
      <c r="F144" s="33"/>
      <c r="G144" s="33"/>
      <c r="H144" s="33"/>
    </row>
    <row r="145">
      <c r="F145" s="33"/>
      <c r="G145" s="33"/>
      <c r="H145" s="33"/>
    </row>
    <row r="146">
      <c r="F146" s="33"/>
      <c r="G146" s="33"/>
      <c r="H146" s="33"/>
    </row>
    <row r="147">
      <c r="F147" s="33"/>
      <c r="G147" s="33"/>
      <c r="H147" s="33"/>
    </row>
    <row r="148">
      <c r="F148" s="33"/>
      <c r="G148" s="33"/>
      <c r="H148" s="33"/>
    </row>
    <row r="149">
      <c r="F149" s="33"/>
      <c r="G149" s="33"/>
      <c r="H149" s="33"/>
    </row>
    <row r="150">
      <c r="F150" s="33"/>
      <c r="G150" s="33"/>
      <c r="H150" s="33"/>
    </row>
    <row r="151">
      <c r="F151" s="33"/>
      <c r="G151" s="33"/>
      <c r="H151" s="33"/>
    </row>
    <row r="152">
      <c r="F152" s="33"/>
      <c r="G152" s="33"/>
      <c r="H152" s="33"/>
    </row>
    <row r="153">
      <c r="F153" s="33"/>
      <c r="G153" s="33"/>
      <c r="H153" s="33"/>
    </row>
    <row r="154">
      <c r="F154" s="33"/>
      <c r="G154" s="33"/>
      <c r="H154" s="33"/>
    </row>
    <row r="155">
      <c r="F155" s="33"/>
      <c r="G155" s="33"/>
      <c r="H155" s="33"/>
    </row>
    <row r="156">
      <c r="F156" s="33"/>
      <c r="G156" s="33"/>
      <c r="H156" s="33"/>
    </row>
    <row r="157">
      <c r="F157" s="33"/>
      <c r="G157" s="33"/>
      <c r="H157" s="33"/>
    </row>
    <row r="158">
      <c r="F158" s="33"/>
      <c r="G158" s="33"/>
      <c r="H158" s="33"/>
    </row>
    <row r="159">
      <c r="F159" s="33"/>
      <c r="G159" s="33"/>
      <c r="H159" s="33"/>
    </row>
    <row r="160">
      <c r="F160" s="33"/>
      <c r="G160" s="33"/>
      <c r="H160" s="33"/>
    </row>
    <row r="161">
      <c r="F161" s="33"/>
      <c r="G161" s="33"/>
      <c r="H161" s="33"/>
    </row>
    <row r="162">
      <c r="F162" s="33"/>
      <c r="G162" s="33"/>
      <c r="H162" s="33"/>
    </row>
    <row r="163">
      <c r="F163" s="33"/>
      <c r="G163" s="33"/>
      <c r="H163" s="33"/>
    </row>
    <row r="164">
      <c r="F164" s="33"/>
      <c r="G164" s="33"/>
      <c r="H164" s="33"/>
    </row>
    <row r="165">
      <c r="F165" s="33"/>
      <c r="G165" s="33"/>
      <c r="H165" s="33"/>
    </row>
    <row r="166">
      <c r="F166" s="33"/>
      <c r="G166" s="33"/>
      <c r="H166" s="33"/>
    </row>
    <row r="167">
      <c r="F167" s="33"/>
      <c r="G167" s="33"/>
      <c r="H167" s="33"/>
    </row>
    <row r="168">
      <c r="F168" s="33"/>
      <c r="G168" s="33"/>
      <c r="H168" s="33"/>
    </row>
    <row r="169">
      <c r="F169" s="33"/>
      <c r="G169" s="33"/>
      <c r="H169" s="33"/>
    </row>
    <row r="170">
      <c r="F170" s="33"/>
      <c r="G170" s="33"/>
      <c r="H170" s="33"/>
    </row>
    <row r="171">
      <c r="F171" s="33"/>
      <c r="G171" s="33"/>
      <c r="H171" s="33"/>
    </row>
    <row r="172">
      <c r="F172" s="33"/>
      <c r="G172" s="33"/>
      <c r="H172" s="33"/>
    </row>
    <row r="173">
      <c r="F173" s="33"/>
      <c r="G173" s="33"/>
      <c r="H173" s="33"/>
    </row>
    <row r="174">
      <c r="F174" s="33"/>
      <c r="G174" s="33"/>
      <c r="H174" s="33"/>
    </row>
    <row r="175">
      <c r="F175" s="33"/>
      <c r="G175" s="33"/>
      <c r="H175" s="33"/>
    </row>
    <row r="176">
      <c r="F176" s="33"/>
      <c r="G176" s="33"/>
      <c r="H176" s="33"/>
    </row>
    <row r="177">
      <c r="F177" s="33"/>
      <c r="G177" s="33"/>
      <c r="H177" s="33"/>
    </row>
    <row r="178">
      <c r="F178" s="33"/>
      <c r="G178" s="33"/>
      <c r="H178" s="33"/>
    </row>
    <row r="179">
      <c r="F179" s="33"/>
      <c r="G179" s="33"/>
      <c r="H179" s="33"/>
    </row>
    <row r="180">
      <c r="F180" s="33"/>
      <c r="G180" s="33"/>
      <c r="H180" s="33"/>
    </row>
    <row r="181">
      <c r="F181" s="33"/>
      <c r="G181" s="33"/>
      <c r="H181" s="33"/>
    </row>
    <row r="182">
      <c r="F182" s="33"/>
      <c r="G182" s="33"/>
      <c r="H182" s="33"/>
    </row>
    <row r="183">
      <c r="F183" s="33"/>
      <c r="G183" s="33"/>
      <c r="H183" s="33"/>
    </row>
    <row r="184">
      <c r="F184" s="33"/>
      <c r="G184" s="33"/>
      <c r="H184" s="33"/>
    </row>
    <row r="185">
      <c r="F185" s="33"/>
      <c r="G185" s="33"/>
      <c r="H185" s="33"/>
    </row>
    <row r="186">
      <c r="F186" s="33"/>
      <c r="G186" s="33"/>
      <c r="H186" s="33"/>
    </row>
    <row r="187">
      <c r="F187" s="33"/>
      <c r="G187" s="33"/>
      <c r="H187" s="33"/>
    </row>
    <row r="188">
      <c r="F188" s="33"/>
      <c r="G188" s="33"/>
      <c r="H188" s="33"/>
    </row>
    <row r="189">
      <c r="F189" s="33"/>
      <c r="G189" s="33"/>
      <c r="H189" s="33"/>
    </row>
    <row r="190">
      <c r="F190" s="33"/>
      <c r="G190" s="33"/>
      <c r="H190" s="33"/>
    </row>
    <row r="191">
      <c r="F191" s="33"/>
      <c r="G191" s="33"/>
      <c r="H191" s="33"/>
    </row>
    <row r="192">
      <c r="F192" s="33"/>
      <c r="G192" s="33"/>
      <c r="H192" s="33"/>
    </row>
    <row r="193">
      <c r="F193" s="33"/>
      <c r="G193" s="33"/>
      <c r="H193" s="33"/>
    </row>
    <row r="194">
      <c r="F194" s="33"/>
      <c r="G194" s="33"/>
      <c r="H194" s="33"/>
    </row>
    <row r="195">
      <c r="F195" s="33"/>
      <c r="G195" s="33"/>
      <c r="H195" s="33"/>
    </row>
    <row r="196">
      <c r="F196" s="33"/>
      <c r="G196" s="33"/>
      <c r="H196" s="33"/>
    </row>
    <row r="197">
      <c r="F197" s="33"/>
      <c r="G197" s="33"/>
      <c r="H197" s="33"/>
    </row>
    <row r="198">
      <c r="F198" s="33"/>
      <c r="G198" s="33"/>
      <c r="H198" s="33"/>
    </row>
    <row r="199">
      <c r="F199" s="33"/>
      <c r="G199" s="33"/>
      <c r="H199" s="33"/>
    </row>
    <row r="200">
      <c r="F200" s="33"/>
      <c r="G200" s="33"/>
      <c r="H200" s="33"/>
    </row>
    <row r="201">
      <c r="F201" s="33"/>
      <c r="G201" s="33"/>
      <c r="H201" s="33"/>
    </row>
    <row r="202">
      <c r="F202" s="33"/>
      <c r="G202" s="33"/>
      <c r="H202" s="33"/>
    </row>
    <row r="203">
      <c r="F203" s="33"/>
      <c r="G203" s="33"/>
      <c r="H203" s="33"/>
    </row>
    <row r="204">
      <c r="F204" s="33"/>
      <c r="G204" s="33"/>
      <c r="H204" s="33"/>
    </row>
    <row r="205">
      <c r="F205" s="33"/>
      <c r="G205" s="33"/>
      <c r="H205" s="33"/>
    </row>
    <row r="206">
      <c r="F206" s="33"/>
      <c r="G206" s="33"/>
      <c r="H206" s="33"/>
    </row>
    <row r="207">
      <c r="F207" s="33"/>
      <c r="G207" s="33"/>
      <c r="H207" s="33"/>
    </row>
    <row r="208">
      <c r="F208" s="33"/>
      <c r="G208" s="33"/>
      <c r="H208" s="33"/>
    </row>
    <row r="209">
      <c r="F209" s="33"/>
      <c r="G209" s="33"/>
      <c r="H209" s="33"/>
    </row>
    <row r="210">
      <c r="F210" s="33"/>
      <c r="G210" s="33"/>
      <c r="H210" s="33"/>
    </row>
    <row r="211">
      <c r="F211" s="33"/>
      <c r="G211" s="33"/>
      <c r="H211" s="33"/>
    </row>
    <row r="212">
      <c r="F212" s="33"/>
      <c r="G212" s="33"/>
      <c r="H212" s="33"/>
    </row>
    <row r="213">
      <c r="F213" s="33"/>
      <c r="G213" s="33"/>
      <c r="H213" s="33"/>
    </row>
    <row r="214">
      <c r="F214" s="33"/>
      <c r="G214" s="33"/>
      <c r="H214" s="33"/>
    </row>
    <row r="215">
      <c r="F215" s="33"/>
      <c r="G215" s="33"/>
      <c r="H215" s="33"/>
    </row>
    <row r="216">
      <c r="F216" s="34"/>
      <c r="G216" s="34"/>
      <c r="H216" s="34"/>
    </row>
    <row r="217">
      <c r="F217" s="34"/>
      <c r="G217" s="34"/>
      <c r="H217" s="34"/>
    </row>
    <row r="218">
      <c r="F218" s="34"/>
      <c r="G218" s="34"/>
      <c r="H218" s="34"/>
    </row>
    <row r="219">
      <c r="F219" s="34"/>
      <c r="G219" s="34"/>
      <c r="H219" s="34"/>
    </row>
    <row r="220">
      <c r="F220" s="34"/>
      <c r="G220" s="34"/>
      <c r="H220" s="34"/>
    </row>
    <row r="221">
      <c r="F221" s="34"/>
      <c r="G221" s="34"/>
      <c r="H221" s="34"/>
    </row>
    <row r="222">
      <c r="F222" s="34"/>
      <c r="G222" s="34"/>
      <c r="H222" s="34"/>
    </row>
    <row r="223">
      <c r="F223" s="34"/>
      <c r="G223" s="34"/>
      <c r="H223" s="34"/>
    </row>
    <row r="224">
      <c r="F224" s="34"/>
      <c r="G224" s="34"/>
      <c r="H224" s="34"/>
    </row>
    <row r="225">
      <c r="F225" s="34"/>
      <c r="G225" s="34"/>
      <c r="H225" s="34"/>
    </row>
    <row r="226">
      <c r="F226" s="34"/>
      <c r="G226" s="34"/>
      <c r="H226" s="34"/>
    </row>
    <row r="227">
      <c r="F227" s="34"/>
      <c r="G227" s="34"/>
      <c r="H227" s="34"/>
    </row>
    <row r="228">
      <c r="F228" s="34"/>
      <c r="G228" s="34"/>
      <c r="H228" s="34"/>
    </row>
    <row r="229">
      <c r="F229" s="34"/>
      <c r="G229" s="34"/>
      <c r="H229" s="34"/>
    </row>
    <row r="230">
      <c r="F230" s="34"/>
      <c r="G230" s="34"/>
      <c r="H230" s="34"/>
    </row>
    <row r="231">
      <c r="F231" s="34"/>
      <c r="G231" s="34"/>
      <c r="H231" s="34"/>
    </row>
    <row r="232">
      <c r="F232" s="34"/>
      <c r="G232" s="34"/>
      <c r="H232" s="34"/>
    </row>
    <row r="233">
      <c r="F233" s="34"/>
      <c r="G233" s="34"/>
      <c r="H233" s="34"/>
    </row>
    <row r="234">
      <c r="F234" s="34"/>
      <c r="G234" s="34"/>
      <c r="H234" s="34"/>
    </row>
    <row r="235">
      <c r="F235" s="34"/>
      <c r="G235" s="34"/>
      <c r="H235" s="34"/>
    </row>
    <row r="236">
      <c r="F236" s="34"/>
      <c r="G236" s="34"/>
      <c r="H236" s="34"/>
    </row>
    <row r="237">
      <c r="F237" s="34"/>
      <c r="G237" s="34"/>
      <c r="H237" s="34"/>
    </row>
    <row r="238">
      <c r="F238" s="34"/>
      <c r="G238" s="34"/>
      <c r="H238" s="34"/>
    </row>
    <row r="239">
      <c r="F239" s="34"/>
      <c r="G239" s="34"/>
      <c r="H239" s="34"/>
    </row>
    <row r="240">
      <c r="F240" s="34"/>
      <c r="G240" s="34"/>
      <c r="H240" s="34"/>
    </row>
    <row r="241">
      <c r="F241" s="34"/>
      <c r="G241" s="34"/>
      <c r="H241" s="34"/>
    </row>
    <row r="242">
      <c r="F242" s="34"/>
      <c r="G242" s="34"/>
      <c r="H242" s="34"/>
    </row>
    <row r="243">
      <c r="F243" s="34"/>
      <c r="G243" s="34"/>
      <c r="H243" s="34"/>
    </row>
    <row r="244">
      <c r="F244" s="34"/>
      <c r="G244" s="34"/>
      <c r="H244" s="34"/>
    </row>
    <row r="245">
      <c r="F245" s="34"/>
      <c r="G245" s="34"/>
      <c r="H245" s="34"/>
    </row>
    <row r="246">
      <c r="F246" s="34"/>
      <c r="G246" s="34"/>
      <c r="H246" s="34"/>
    </row>
    <row r="247">
      <c r="F247" s="34"/>
      <c r="G247" s="34"/>
      <c r="H247" s="34"/>
    </row>
    <row r="248">
      <c r="F248" s="34"/>
      <c r="G248" s="34"/>
      <c r="H248" s="34"/>
    </row>
    <row r="249">
      <c r="F249" s="34"/>
      <c r="G249" s="34"/>
      <c r="H249" s="34"/>
    </row>
    <row r="250">
      <c r="F250" s="34"/>
      <c r="G250" s="34"/>
      <c r="H250" s="34"/>
    </row>
    <row r="251">
      <c r="F251" s="34"/>
      <c r="G251" s="34"/>
      <c r="H251" s="34"/>
    </row>
    <row r="252">
      <c r="F252" s="34"/>
      <c r="G252" s="34"/>
      <c r="H252" s="34"/>
    </row>
    <row r="253">
      <c r="F253" s="34"/>
      <c r="G253" s="34"/>
      <c r="H253" s="34"/>
    </row>
    <row r="254">
      <c r="F254" s="34"/>
      <c r="G254" s="34"/>
      <c r="H254" s="34"/>
    </row>
    <row r="255">
      <c r="F255" s="34"/>
      <c r="G255" s="34"/>
      <c r="H255" s="34"/>
    </row>
    <row r="256">
      <c r="F256" s="34"/>
      <c r="G256" s="34"/>
      <c r="H256" s="34"/>
    </row>
    <row r="257">
      <c r="F257" s="34"/>
      <c r="G257" s="34"/>
      <c r="H257" s="34"/>
    </row>
    <row r="258">
      <c r="F258" s="34"/>
      <c r="G258" s="34"/>
      <c r="H258" s="34"/>
    </row>
    <row r="259">
      <c r="F259" s="34"/>
      <c r="G259" s="34"/>
      <c r="H259" s="34"/>
    </row>
    <row r="260">
      <c r="F260" s="34"/>
      <c r="G260" s="34"/>
      <c r="H260" s="34"/>
    </row>
    <row r="261">
      <c r="F261" s="34"/>
      <c r="G261" s="34"/>
      <c r="H261" s="34"/>
    </row>
    <row r="262">
      <c r="F262" s="34"/>
      <c r="G262" s="34"/>
      <c r="H262" s="34"/>
    </row>
    <row r="263">
      <c r="F263" s="34"/>
      <c r="G263" s="34"/>
      <c r="H263" s="34"/>
    </row>
    <row r="264">
      <c r="F264" s="34"/>
      <c r="G264" s="34"/>
      <c r="H264" s="34"/>
    </row>
    <row r="265">
      <c r="F265" s="34"/>
      <c r="G265" s="34"/>
      <c r="H265" s="34"/>
    </row>
    <row r="266">
      <c r="F266" s="34"/>
      <c r="G266" s="34"/>
      <c r="H266" s="34"/>
    </row>
    <row r="267">
      <c r="F267" s="34"/>
      <c r="G267" s="34"/>
      <c r="H267" s="34"/>
    </row>
    <row r="268">
      <c r="F268" s="34"/>
      <c r="G268" s="34"/>
      <c r="H268" s="34"/>
    </row>
    <row r="269">
      <c r="F269" s="34"/>
      <c r="G269" s="34"/>
      <c r="H269" s="34"/>
    </row>
    <row r="270">
      <c r="F270" s="34"/>
      <c r="G270" s="34"/>
      <c r="H270" s="34"/>
    </row>
    <row r="271">
      <c r="F271" s="34"/>
      <c r="G271" s="34"/>
      <c r="H271" s="34"/>
    </row>
    <row r="272">
      <c r="F272" s="34"/>
      <c r="G272" s="34"/>
      <c r="H272" s="34"/>
    </row>
    <row r="273">
      <c r="F273" s="34"/>
      <c r="G273" s="34"/>
      <c r="H273" s="34"/>
    </row>
    <row r="274">
      <c r="F274" s="34"/>
      <c r="G274" s="34"/>
      <c r="H274" s="34"/>
    </row>
    <row r="275">
      <c r="F275" s="34"/>
      <c r="G275" s="34"/>
      <c r="H275" s="34"/>
    </row>
    <row r="276">
      <c r="F276" s="34"/>
      <c r="G276" s="34"/>
      <c r="H276" s="34"/>
    </row>
    <row r="277">
      <c r="F277" s="34"/>
      <c r="G277" s="34"/>
      <c r="H277" s="34"/>
    </row>
    <row r="278">
      <c r="F278" s="34"/>
      <c r="G278" s="34"/>
      <c r="H278" s="34"/>
    </row>
    <row r="279">
      <c r="F279" s="34"/>
      <c r="G279" s="34"/>
      <c r="H279" s="34"/>
    </row>
    <row r="280">
      <c r="F280" s="34"/>
      <c r="G280" s="34"/>
      <c r="H280" s="34"/>
    </row>
    <row r="281">
      <c r="F281" s="34"/>
      <c r="G281" s="34"/>
      <c r="H281" s="34"/>
    </row>
    <row r="282">
      <c r="F282" s="34"/>
      <c r="G282" s="34"/>
      <c r="H282" s="34"/>
    </row>
    <row r="283">
      <c r="F283" s="34"/>
      <c r="G283" s="34"/>
      <c r="H283" s="34"/>
    </row>
    <row r="284">
      <c r="F284" s="34"/>
      <c r="G284" s="34"/>
      <c r="H284" s="34"/>
    </row>
    <row r="285">
      <c r="F285" s="34"/>
      <c r="G285" s="34"/>
      <c r="H285" s="34"/>
    </row>
    <row r="286">
      <c r="F286" s="34"/>
      <c r="G286" s="34"/>
      <c r="H286" s="34"/>
    </row>
    <row r="287">
      <c r="F287" s="34"/>
      <c r="G287" s="34"/>
      <c r="H287" s="34"/>
    </row>
    <row r="288">
      <c r="F288" s="34"/>
      <c r="G288" s="34"/>
      <c r="H288" s="34"/>
    </row>
    <row r="289">
      <c r="F289" s="34"/>
      <c r="G289" s="34"/>
      <c r="H289" s="34"/>
    </row>
    <row r="290">
      <c r="F290" s="34"/>
      <c r="G290" s="34"/>
      <c r="H290" s="34"/>
    </row>
    <row r="291">
      <c r="F291" s="34"/>
      <c r="G291" s="34"/>
      <c r="H291" s="34"/>
    </row>
    <row r="292">
      <c r="F292" s="34"/>
      <c r="G292" s="34"/>
      <c r="H292" s="34"/>
    </row>
    <row r="293">
      <c r="F293" s="34"/>
      <c r="G293" s="34"/>
      <c r="H293" s="34"/>
    </row>
    <row r="294">
      <c r="F294" s="34"/>
      <c r="G294" s="34"/>
      <c r="H294" s="34"/>
    </row>
    <row r="295">
      <c r="F295" s="34"/>
      <c r="G295" s="34"/>
      <c r="H295" s="34"/>
    </row>
    <row r="296">
      <c r="F296" s="34"/>
      <c r="G296" s="34"/>
      <c r="H296" s="34"/>
    </row>
    <row r="297">
      <c r="F297" s="34"/>
      <c r="G297" s="34"/>
      <c r="H297" s="34"/>
    </row>
    <row r="298">
      <c r="F298" s="34"/>
      <c r="G298" s="34"/>
      <c r="H298" s="34"/>
    </row>
    <row r="299">
      <c r="F299" s="34"/>
      <c r="G299" s="34"/>
      <c r="H299" s="34"/>
    </row>
    <row r="300">
      <c r="F300" s="34"/>
      <c r="G300" s="34"/>
      <c r="H300" s="34"/>
    </row>
    <row r="301">
      <c r="F301" s="34"/>
      <c r="G301" s="34"/>
      <c r="H301" s="34"/>
    </row>
    <row r="302">
      <c r="F302" s="34"/>
      <c r="G302" s="34"/>
      <c r="H302" s="34"/>
    </row>
    <row r="303">
      <c r="F303" s="34"/>
      <c r="G303" s="34"/>
      <c r="H303" s="34"/>
    </row>
    <row r="304">
      <c r="F304" s="34"/>
      <c r="G304" s="34"/>
      <c r="H304" s="34"/>
    </row>
    <row r="305">
      <c r="F305" s="34"/>
      <c r="G305" s="34"/>
      <c r="H305" s="34"/>
    </row>
    <row r="306">
      <c r="F306" s="34"/>
      <c r="G306" s="34"/>
      <c r="H306" s="34"/>
    </row>
    <row r="307">
      <c r="F307" s="34"/>
      <c r="G307" s="34"/>
      <c r="H307" s="34"/>
    </row>
    <row r="308">
      <c r="F308" s="34"/>
      <c r="G308" s="34"/>
      <c r="H308" s="34"/>
    </row>
    <row r="309">
      <c r="F309" s="34"/>
      <c r="G309" s="34"/>
      <c r="H309" s="34"/>
    </row>
    <row r="310">
      <c r="F310" s="34"/>
      <c r="G310" s="34"/>
      <c r="H310" s="34"/>
    </row>
    <row r="311">
      <c r="F311" s="34"/>
      <c r="G311" s="34"/>
      <c r="H311" s="34"/>
    </row>
    <row r="312">
      <c r="F312" s="34"/>
      <c r="G312" s="34"/>
      <c r="H312" s="34"/>
    </row>
    <row r="313">
      <c r="F313" s="34"/>
      <c r="G313" s="34"/>
      <c r="H313" s="34"/>
    </row>
    <row r="314">
      <c r="F314" s="34"/>
      <c r="G314" s="34"/>
      <c r="H314" s="34"/>
    </row>
    <row r="315">
      <c r="F315" s="34"/>
      <c r="G315" s="34"/>
      <c r="H315" s="34"/>
    </row>
    <row r="316">
      <c r="F316" s="34"/>
      <c r="G316" s="34"/>
      <c r="H316" s="34"/>
    </row>
    <row r="317">
      <c r="F317" s="34"/>
      <c r="G317" s="34"/>
      <c r="H317" s="34"/>
    </row>
    <row r="318">
      <c r="F318" s="34"/>
      <c r="G318" s="34"/>
      <c r="H318" s="34"/>
    </row>
    <row r="319">
      <c r="F319" s="34"/>
      <c r="G319" s="34"/>
      <c r="H319" s="34"/>
    </row>
    <row r="320">
      <c r="F320" s="34"/>
      <c r="G320" s="34"/>
      <c r="H320" s="34"/>
    </row>
    <row r="321">
      <c r="F321" s="34"/>
      <c r="G321" s="34"/>
      <c r="H321" s="34"/>
    </row>
    <row r="322">
      <c r="F322" s="34"/>
      <c r="G322" s="34"/>
      <c r="H322" s="34"/>
    </row>
    <row r="323">
      <c r="F323" s="34"/>
      <c r="G323" s="34"/>
      <c r="H323" s="34"/>
    </row>
    <row r="324">
      <c r="F324" s="34"/>
      <c r="G324" s="34"/>
      <c r="H324" s="34"/>
    </row>
    <row r="325">
      <c r="F325" s="34"/>
      <c r="G325" s="34"/>
      <c r="H325" s="34"/>
    </row>
    <row r="326">
      <c r="F326" s="34"/>
      <c r="G326" s="34"/>
      <c r="H326" s="34"/>
    </row>
    <row r="327">
      <c r="F327" s="34"/>
      <c r="G327" s="34"/>
      <c r="H327" s="34"/>
    </row>
    <row r="328">
      <c r="F328" s="34"/>
      <c r="G328" s="34"/>
      <c r="H328" s="34"/>
    </row>
    <row r="329">
      <c r="F329" s="34"/>
      <c r="G329" s="34"/>
      <c r="H329" s="34"/>
    </row>
    <row r="330">
      <c r="F330" s="34"/>
      <c r="G330" s="34"/>
      <c r="H330" s="34"/>
    </row>
    <row r="331">
      <c r="F331" s="34"/>
      <c r="G331" s="34"/>
      <c r="H331" s="34"/>
    </row>
    <row r="332">
      <c r="F332" s="34"/>
      <c r="G332" s="34"/>
      <c r="H332" s="34"/>
    </row>
    <row r="333">
      <c r="F333" s="34"/>
      <c r="G333" s="34"/>
      <c r="H333" s="34"/>
    </row>
    <row r="334">
      <c r="F334" s="34"/>
      <c r="G334" s="34"/>
      <c r="H334" s="34"/>
    </row>
    <row r="335">
      <c r="F335" s="34"/>
      <c r="G335" s="34"/>
      <c r="H335" s="34"/>
    </row>
    <row r="336">
      <c r="F336" s="34"/>
      <c r="G336" s="34"/>
      <c r="H336" s="34"/>
    </row>
    <row r="337">
      <c r="F337" s="34"/>
      <c r="G337" s="34"/>
      <c r="H337" s="34"/>
    </row>
    <row r="338">
      <c r="F338" s="34"/>
      <c r="G338" s="34"/>
      <c r="H338" s="34"/>
    </row>
    <row r="339">
      <c r="F339" s="34"/>
      <c r="G339" s="34"/>
      <c r="H339" s="34"/>
    </row>
    <row r="340">
      <c r="F340" s="34"/>
      <c r="G340" s="34"/>
      <c r="H340" s="34"/>
    </row>
    <row r="341">
      <c r="F341" s="34"/>
      <c r="G341" s="34"/>
      <c r="H341" s="34"/>
    </row>
    <row r="342">
      <c r="F342" s="34"/>
      <c r="G342" s="34"/>
      <c r="H342" s="34"/>
    </row>
    <row r="343">
      <c r="F343" s="34"/>
      <c r="G343" s="34"/>
      <c r="H343" s="34"/>
    </row>
    <row r="344">
      <c r="F344" s="34"/>
      <c r="G344" s="34"/>
      <c r="H344" s="34"/>
    </row>
    <row r="345">
      <c r="F345" s="34"/>
      <c r="G345" s="34"/>
      <c r="H345" s="34"/>
    </row>
    <row r="346">
      <c r="F346" s="34"/>
      <c r="G346" s="34"/>
      <c r="H346" s="34"/>
    </row>
    <row r="347">
      <c r="F347" s="34"/>
      <c r="G347" s="34"/>
      <c r="H347" s="34"/>
    </row>
    <row r="348">
      <c r="F348" s="34"/>
      <c r="G348" s="34"/>
      <c r="H348" s="34"/>
    </row>
    <row r="349">
      <c r="F349" s="34"/>
      <c r="G349" s="34"/>
      <c r="H349" s="34"/>
    </row>
    <row r="350">
      <c r="F350" s="34"/>
      <c r="G350" s="34"/>
      <c r="H350" s="34"/>
    </row>
    <row r="351">
      <c r="F351" s="34"/>
      <c r="G351" s="34"/>
      <c r="H351" s="34"/>
    </row>
    <row r="352">
      <c r="F352" s="34"/>
      <c r="G352" s="34"/>
      <c r="H352" s="34"/>
    </row>
    <row r="353">
      <c r="F353" s="34"/>
      <c r="G353" s="34"/>
      <c r="H353" s="34"/>
    </row>
    <row r="354">
      <c r="F354" s="34"/>
      <c r="G354" s="34"/>
      <c r="H354" s="34"/>
    </row>
    <row r="355">
      <c r="F355" s="34"/>
      <c r="G355" s="34"/>
      <c r="H355" s="34"/>
    </row>
    <row r="356">
      <c r="F356" s="34"/>
      <c r="G356" s="34"/>
      <c r="H356" s="34"/>
    </row>
    <row r="357">
      <c r="F357" s="34"/>
      <c r="G357" s="34"/>
      <c r="H357" s="34"/>
    </row>
    <row r="358">
      <c r="F358" s="34"/>
      <c r="G358" s="34"/>
      <c r="H358" s="34"/>
    </row>
    <row r="359">
      <c r="F359" s="34"/>
      <c r="G359" s="34"/>
      <c r="H359" s="34"/>
    </row>
    <row r="360">
      <c r="F360" s="34"/>
      <c r="G360" s="34"/>
      <c r="H360" s="34"/>
    </row>
    <row r="361">
      <c r="F361" s="34"/>
      <c r="G361" s="34"/>
      <c r="H361" s="34"/>
    </row>
    <row r="362">
      <c r="F362" s="34"/>
      <c r="G362" s="34"/>
      <c r="H362" s="34"/>
    </row>
    <row r="363">
      <c r="F363" s="34"/>
      <c r="G363" s="34"/>
      <c r="H363" s="34"/>
    </row>
    <row r="364">
      <c r="F364" s="34"/>
      <c r="G364" s="34"/>
      <c r="H364" s="34"/>
    </row>
    <row r="365">
      <c r="F365" s="34"/>
      <c r="G365" s="34"/>
      <c r="H365" s="34"/>
    </row>
    <row r="366">
      <c r="F366" s="34"/>
      <c r="G366" s="34"/>
      <c r="H366" s="34"/>
    </row>
    <row r="367">
      <c r="F367" s="34"/>
      <c r="G367" s="34"/>
      <c r="H367" s="34"/>
    </row>
    <row r="368">
      <c r="F368" s="34"/>
      <c r="G368" s="34"/>
      <c r="H368" s="34"/>
    </row>
    <row r="369">
      <c r="F369" s="34"/>
      <c r="G369" s="34"/>
      <c r="H369" s="34"/>
    </row>
    <row r="370">
      <c r="F370" s="34"/>
      <c r="G370" s="34"/>
      <c r="H370" s="34"/>
    </row>
    <row r="371">
      <c r="F371" s="34"/>
      <c r="G371" s="34"/>
      <c r="H371" s="34"/>
    </row>
    <row r="372">
      <c r="F372" s="34"/>
      <c r="G372" s="34"/>
      <c r="H372" s="34"/>
    </row>
    <row r="373">
      <c r="F373" s="34"/>
      <c r="G373" s="34"/>
      <c r="H373" s="34"/>
    </row>
    <row r="374">
      <c r="F374" s="34"/>
      <c r="G374" s="34"/>
      <c r="H374" s="34"/>
    </row>
    <row r="375">
      <c r="F375" s="34"/>
      <c r="G375" s="34"/>
      <c r="H375" s="34"/>
    </row>
    <row r="376">
      <c r="F376" s="34"/>
      <c r="G376" s="34"/>
      <c r="H376" s="34"/>
    </row>
    <row r="377">
      <c r="F377" s="34"/>
      <c r="G377" s="34"/>
      <c r="H377" s="34"/>
    </row>
    <row r="378">
      <c r="F378" s="34"/>
      <c r="G378" s="34"/>
      <c r="H378" s="34"/>
    </row>
    <row r="379">
      <c r="F379" s="34"/>
      <c r="G379" s="34"/>
      <c r="H379" s="34"/>
    </row>
    <row r="380">
      <c r="F380" s="34"/>
      <c r="G380" s="34"/>
      <c r="H380" s="34"/>
    </row>
    <row r="381">
      <c r="F381" s="34"/>
      <c r="G381" s="34"/>
      <c r="H381" s="34"/>
    </row>
    <row r="382">
      <c r="F382" s="34"/>
      <c r="G382" s="34"/>
      <c r="H382" s="34"/>
    </row>
    <row r="383">
      <c r="F383" s="34"/>
      <c r="G383" s="34"/>
      <c r="H383" s="34"/>
    </row>
    <row r="384">
      <c r="F384" s="34"/>
      <c r="G384" s="34"/>
      <c r="H384" s="34"/>
    </row>
    <row r="385">
      <c r="F385" s="34"/>
      <c r="G385" s="34"/>
      <c r="H385" s="34"/>
    </row>
    <row r="386">
      <c r="F386" s="34"/>
      <c r="G386" s="34"/>
      <c r="H386" s="34"/>
    </row>
    <row r="387">
      <c r="F387" s="34"/>
      <c r="G387" s="34"/>
      <c r="H387" s="34"/>
    </row>
    <row r="388">
      <c r="F388" s="34"/>
      <c r="G388" s="34"/>
      <c r="H388" s="34"/>
    </row>
    <row r="389">
      <c r="F389" s="34"/>
      <c r="G389" s="34"/>
      <c r="H389" s="34"/>
    </row>
    <row r="390">
      <c r="F390" s="34"/>
      <c r="G390" s="34"/>
      <c r="H390" s="34"/>
    </row>
    <row r="391">
      <c r="F391" s="34"/>
      <c r="G391" s="34"/>
      <c r="H391" s="34"/>
    </row>
    <row r="392">
      <c r="F392" s="34"/>
      <c r="G392" s="34"/>
      <c r="H392" s="34"/>
    </row>
    <row r="393">
      <c r="F393" s="34"/>
      <c r="G393" s="34"/>
      <c r="H393" s="34"/>
    </row>
    <row r="394">
      <c r="F394" s="34"/>
      <c r="G394" s="34"/>
      <c r="H394" s="34"/>
    </row>
    <row r="395">
      <c r="F395" s="34"/>
      <c r="G395" s="34"/>
      <c r="H395" s="34"/>
    </row>
    <row r="396">
      <c r="F396" s="34"/>
      <c r="G396" s="34"/>
      <c r="H396" s="34"/>
    </row>
    <row r="397">
      <c r="F397" s="34"/>
      <c r="G397" s="34"/>
      <c r="H397" s="34"/>
    </row>
    <row r="398">
      <c r="F398" s="34"/>
      <c r="G398" s="34"/>
      <c r="H398" s="34"/>
    </row>
    <row r="399">
      <c r="F399" s="34"/>
      <c r="G399" s="34"/>
      <c r="H399" s="34"/>
    </row>
    <row r="400">
      <c r="F400" s="34"/>
      <c r="G400" s="34"/>
      <c r="H400" s="34"/>
    </row>
    <row r="401">
      <c r="F401" s="34"/>
      <c r="G401" s="34"/>
      <c r="H401" s="34"/>
    </row>
    <row r="402">
      <c r="F402" s="34"/>
      <c r="G402" s="34"/>
      <c r="H402" s="34"/>
    </row>
    <row r="403">
      <c r="F403" s="34"/>
      <c r="G403" s="34"/>
      <c r="H403" s="34"/>
    </row>
    <row r="404">
      <c r="F404" s="34"/>
      <c r="G404" s="34"/>
      <c r="H404" s="34"/>
    </row>
    <row r="405">
      <c r="F405" s="34"/>
      <c r="G405" s="34"/>
      <c r="H405" s="34"/>
    </row>
    <row r="406">
      <c r="F406" s="34"/>
      <c r="G406" s="34"/>
      <c r="H406" s="34"/>
    </row>
    <row r="407">
      <c r="F407" s="34"/>
      <c r="G407" s="34"/>
      <c r="H407" s="34"/>
    </row>
    <row r="408">
      <c r="F408" s="34"/>
      <c r="G408" s="34"/>
      <c r="H408" s="34"/>
    </row>
    <row r="409">
      <c r="F409" s="34"/>
      <c r="G409" s="34"/>
      <c r="H409" s="34"/>
    </row>
    <row r="410">
      <c r="F410" s="34"/>
      <c r="G410" s="34"/>
      <c r="H410" s="34"/>
    </row>
    <row r="411">
      <c r="F411" s="34"/>
      <c r="G411" s="34"/>
      <c r="H411" s="34"/>
    </row>
    <row r="412">
      <c r="F412" s="34"/>
      <c r="G412" s="34"/>
      <c r="H412" s="34"/>
    </row>
    <row r="413">
      <c r="F413" s="34"/>
      <c r="G413" s="34"/>
      <c r="H413" s="34"/>
    </row>
    <row r="414">
      <c r="F414" s="34"/>
      <c r="G414" s="34"/>
      <c r="H414" s="34"/>
    </row>
    <row r="415">
      <c r="F415" s="34"/>
      <c r="G415" s="34"/>
      <c r="H415" s="34"/>
    </row>
    <row r="416">
      <c r="F416" s="34"/>
      <c r="G416" s="34"/>
      <c r="H416" s="34"/>
    </row>
    <row r="417">
      <c r="F417" s="34"/>
      <c r="G417" s="34"/>
      <c r="H417" s="34"/>
    </row>
    <row r="418">
      <c r="F418" s="34"/>
      <c r="G418" s="34"/>
      <c r="H418" s="34"/>
    </row>
    <row r="419">
      <c r="F419" s="34"/>
      <c r="G419" s="34"/>
      <c r="H419" s="34"/>
    </row>
    <row r="420">
      <c r="F420" s="34"/>
      <c r="G420" s="34"/>
      <c r="H420" s="34"/>
    </row>
    <row r="421">
      <c r="F421" s="34"/>
      <c r="G421" s="34"/>
      <c r="H421" s="34"/>
    </row>
    <row r="422">
      <c r="F422" s="34"/>
      <c r="G422" s="34"/>
      <c r="H422" s="34"/>
    </row>
    <row r="423">
      <c r="F423" s="34"/>
      <c r="G423" s="34"/>
      <c r="H423" s="34"/>
    </row>
    <row r="424">
      <c r="F424" s="34"/>
      <c r="G424" s="34"/>
      <c r="H424" s="34"/>
    </row>
    <row r="425">
      <c r="F425" s="34"/>
      <c r="G425" s="34"/>
      <c r="H425" s="34"/>
    </row>
    <row r="426">
      <c r="F426" s="34"/>
      <c r="G426" s="34"/>
      <c r="H426" s="34"/>
    </row>
    <row r="427">
      <c r="F427" s="34"/>
      <c r="G427" s="34"/>
      <c r="H427" s="34"/>
    </row>
    <row r="428">
      <c r="F428" s="34"/>
      <c r="G428" s="34"/>
      <c r="H428" s="34"/>
    </row>
    <row r="429">
      <c r="F429" s="34"/>
      <c r="G429" s="34"/>
      <c r="H429" s="34"/>
    </row>
    <row r="430">
      <c r="F430" s="34"/>
      <c r="G430" s="34"/>
      <c r="H430" s="34"/>
    </row>
    <row r="431">
      <c r="F431" s="34"/>
      <c r="G431" s="34"/>
      <c r="H431" s="34"/>
    </row>
    <row r="432">
      <c r="F432" s="34"/>
      <c r="G432" s="34"/>
      <c r="H432" s="34"/>
    </row>
    <row r="433">
      <c r="F433" s="34"/>
      <c r="G433" s="34"/>
      <c r="H433" s="34"/>
    </row>
    <row r="434">
      <c r="F434" s="34"/>
      <c r="G434" s="34"/>
      <c r="H434" s="34"/>
    </row>
    <row r="435">
      <c r="F435" s="34"/>
      <c r="G435" s="34"/>
      <c r="H435" s="34"/>
    </row>
    <row r="436">
      <c r="F436" s="34"/>
      <c r="G436" s="34"/>
      <c r="H436" s="34"/>
    </row>
    <row r="437">
      <c r="F437" s="34"/>
      <c r="G437" s="34"/>
      <c r="H437" s="34"/>
    </row>
    <row r="438">
      <c r="F438" s="34"/>
      <c r="G438" s="34"/>
      <c r="H438" s="34"/>
    </row>
    <row r="439">
      <c r="F439" s="34"/>
      <c r="G439" s="34"/>
      <c r="H439" s="34"/>
    </row>
    <row r="440">
      <c r="F440" s="34"/>
      <c r="G440" s="34"/>
      <c r="H440" s="34"/>
    </row>
    <row r="441">
      <c r="F441" s="34"/>
      <c r="G441" s="34"/>
      <c r="H441" s="34"/>
    </row>
    <row r="442">
      <c r="F442" s="34"/>
      <c r="G442" s="34"/>
      <c r="H442" s="34"/>
    </row>
    <row r="443">
      <c r="F443" s="34"/>
      <c r="G443" s="34"/>
      <c r="H443" s="34"/>
    </row>
    <row r="444">
      <c r="F444" s="34"/>
      <c r="G444" s="34"/>
      <c r="H444" s="34"/>
    </row>
    <row r="445">
      <c r="F445" s="34"/>
      <c r="G445" s="34"/>
      <c r="H445" s="34"/>
    </row>
    <row r="446">
      <c r="F446" s="34"/>
      <c r="G446" s="34"/>
      <c r="H446" s="34"/>
    </row>
    <row r="447">
      <c r="F447" s="34"/>
      <c r="G447" s="34"/>
      <c r="H447" s="34"/>
    </row>
    <row r="448">
      <c r="F448" s="34"/>
      <c r="G448" s="34"/>
      <c r="H448" s="34"/>
    </row>
    <row r="449">
      <c r="F449" s="34"/>
      <c r="G449" s="34"/>
      <c r="H449" s="34"/>
    </row>
    <row r="450">
      <c r="F450" s="34"/>
      <c r="G450" s="34"/>
      <c r="H450" s="34"/>
    </row>
    <row r="451">
      <c r="F451" s="34"/>
      <c r="G451" s="34"/>
      <c r="H451" s="34"/>
    </row>
    <row r="452">
      <c r="F452" s="34"/>
      <c r="G452" s="34"/>
      <c r="H452" s="34"/>
    </row>
    <row r="453">
      <c r="F453" s="34"/>
      <c r="G453" s="34"/>
      <c r="H453" s="34"/>
    </row>
    <row r="454">
      <c r="F454" s="34"/>
      <c r="G454" s="34"/>
      <c r="H454" s="34"/>
    </row>
    <row r="455">
      <c r="F455" s="34"/>
      <c r="G455" s="34"/>
      <c r="H455" s="34"/>
    </row>
    <row r="456">
      <c r="F456" s="34"/>
      <c r="G456" s="34"/>
      <c r="H456" s="34"/>
    </row>
    <row r="457">
      <c r="F457" s="34"/>
      <c r="G457" s="34"/>
      <c r="H457" s="34"/>
    </row>
    <row r="458">
      <c r="F458" s="34"/>
      <c r="G458" s="34"/>
      <c r="H458" s="34"/>
    </row>
    <row r="459">
      <c r="F459" s="34"/>
      <c r="G459" s="34"/>
      <c r="H459" s="34"/>
    </row>
    <row r="460">
      <c r="F460" s="34"/>
      <c r="G460" s="34"/>
      <c r="H460" s="34"/>
    </row>
    <row r="461">
      <c r="F461" s="34"/>
      <c r="G461" s="34"/>
      <c r="H461" s="34"/>
    </row>
    <row r="462">
      <c r="F462" s="34"/>
      <c r="G462" s="34"/>
      <c r="H462" s="34"/>
    </row>
    <row r="463">
      <c r="F463" s="34"/>
      <c r="G463" s="34"/>
      <c r="H463" s="34"/>
    </row>
    <row r="464">
      <c r="F464" s="34"/>
      <c r="G464" s="34"/>
      <c r="H464" s="34"/>
    </row>
    <row r="465">
      <c r="F465" s="34"/>
      <c r="G465" s="34"/>
      <c r="H465" s="34"/>
    </row>
    <row r="466">
      <c r="F466" s="34"/>
      <c r="G466" s="34"/>
      <c r="H466" s="34"/>
    </row>
    <row r="467">
      <c r="F467" s="34"/>
      <c r="G467" s="34"/>
      <c r="H467" s="34"/>
    </row>
    <row r="468">
      <c r="F468" s="34"/>
      <c r="G468" s="34"/>
      <c r="H468" s="34"/>
    </row>
    <row r="469">
      <c r="F469" s="34"/>
      <c r="G469" s="34"/>
      <c r="H469" s="34"/>
    </row>
    <row r="470">
      <c r="F470" s="34"/>
      <c r="G470" s="34"/>
      <c r="H470" s="34"/>
    </row>
    <row r="471">
      <c r="F471" s="34"/>
      <c r="G471" s="34"/>
      <c r="H471" s="34"/>
    </row>
    <row r="472">
      <c r="F472" s="34"/>
      <c r="G472" s="34"/>
      <c r="H472" s="34"/>
    </row>
    <row r="473">
      <c r="F473" s="34"/>
      <c r="G473" s="34"/>
      <c r="H473" s="34"/>
    </row>
    <row r="474">
      <c r="F474" s="34"/>
      <c r="G474" s="34"/>
      <c r="H474" s="34"/>
    </row>
    <row r="475">
      <c r="F475" s="34"/>
      <c r="G475" s="34"/>
      <c r="H475" s="34"/>
    </row>
    <row r="476">
      <c r="F476" s="34"/>
      <c r="G476" s="34"/>
      <c r="H476" s="34"/>
    </row>
    <row r="477">
      <c r="F477" s="34"/>
      <c r="G477" s="34"/>
      <c r="H477" s="34"/>
    </row>
    <row r="478">
      <c r="F478" s="34"/>
      <c r="G478" s="34"/>
      <c r="H478" s="34"/>
    </row>
    <row r="479">
      <c r="F479" s="34"/>
      <c r="G479" s="34"/>
      <c r="H479" s="34"/>
    </row>
    <row r="480">
      <c r="F480" s="34"/>
      <c r="G480" s="34"/>
      <c r="H480" s="34"/>
    </row>
    <row r="481">
      <c r="F481" s="34"/>
      <c r="G481" s="34"/>
      <c r="H481" s="34"/>
    </row>
    <row r="482">
      <c r="F482" s="34"/>
      <c r="G482" s="34"/>
      <c r="H482" s="34"/>
    </row>
    <row r="483">
      <c r="F483" s="34"/>
      <c r="G483" s="34"/>
      <c r="H483" s="34"/>
    </row>
    <row r="484">
      <c r="F484" s="34"/>
      <c r="G484" s="34"/>
      <c r="H484" s="34"/>
    </row>
    <row r="485">
      <c r="F485" s="34"/>
      <c r="G485" s="34"/>
      <c r="H485" s="34"/>
    </row>
    <row r="486">
      <c r="F486" s="34"/>
      <c r="G486" s="34"/>
      <c r="H486" s="34"/>
    </row>
    <row r="487">
      <c r="F487" s="34"/>
      <c r="G487" s="34"/>
      <c r="H487" s="34"/>
    </row>
    <row r="488">
      <c r="F488" s="34"/>
      <c r="G488" s="34"/>
      <c r="H488" s="34"/>
    </row>
    <row r="489">
      <c r="F489" s="34"/>
      <c r="G489" s="34"/>
      <c r="H489" s="34"/>
    </row>
    <row r="490">
      <c r="F490" s="34"/>
      <c r="G490" s="34"/>
      <c r="H490" s="34"/>
    </row>
    <row r="491">
      <c r="F491" s="34"/>
      <c r="G491" s="34"/>
      <c r="H491" s="34"/>
    </row>
    <row r="492">
      <c r="F492" s="34"/>
      <c r="G492" s="34"/>
      <c r="H492" s="34"/>
    </row>
    <row r="493">
      <c r="F493" s="34"/>
      <c r="G493" s="34"/>
      <c r="H493" s="34"/>
    </row>
    <row r="494">
      <c r="F494" s="34"/>
      <c r="G494" s="34"/>
      <c r="H494" s="34"/>
    </row>
    <row r="495">
      <c r="F495" s="34"/>
      <c r="G495" s="34"/>
      <c r="H495" s="34"/>
    </row>
    <row r="496">
      <c r="F496" s="34"/>
      <c r="G496" s="34"/>
      <c r="H496" s="34"/>
    </row>
    <row r="497">
      <c r="F497" s="34"/>
      <c r="G497" s="34"/>
      <c r="H497" s="34"/>
    </row>
    <row r="498">
      <c r="F498" s="34"/>
      <c r="G498" s="34"/>
      <c r="H498" s="34"/>
    </row>
    <row r="499">
      <c r="F499" s="34"/>
      <c r="G499" s="34"/>
      <c r="H499" s="34"/>
    </row>
    <row r="500">
      <c r="F500" s="34"/>
      <c r="G500" s="34"/>
      <c r="H500" s="34"/>
    </row>
    <row r="501">
      <c r="F501" s="34"/>
      <c r="G501" s="34"/>
      <c r="H501" s="34"/>
    </row>
    <row r="502">
      <c r="F502" s="34"/>
      <c r="G502" s="34"/>
      <c r="H502" s="34"/>
    </row>
    <row r="503">
      <c r="F503" s="34"/>
      <c r="G503" s="34"/>
      <c r="H503" s="34"/>
    </row>
    <row r="504">
      <c r="F504" s="34"/>
      <c r="G504" s="34"/>
      <c r="H504" s="34"/>
    </row>
    <row r="505">
      <c r="F505" s="34"/>
      <c r="G505" s="34"/>
      <c r="H505" s="34"/>
    </row>
    <row r="506">
      <c r="F506" s="34"/>
      <c r="G506" s="34"/>
      <c r="H506" s="34"/>
    </row>
    <row r="507">
      <c r="F507" s="34"/>
      <c r="G507" s="34"/>
      <c r="H507" s="34"/>
    </row>
    <row r="508">
      <c r="F508" s="34"/>
      <c r="G508" s="34"/>
      <c r="H508" s="34"/>
    </row>
    <row r="509">
      <c r="F509" s="34"/>
      <c r="G509" s="34"/>
      <c r="H509" s="34"/>
    </row>
    <row r="510">
      <c r="F510" s="34"/>
      <c r="G510" s="34"/>
      <c r="H510" s="34"/>
    </row>
    <row r="511">
      <c r="F511" s="34"/>
      <c r="G511" s="34"/>
      <c r="H511" s="34"/>
    </row>
    <row r="512">
      <c r="F512" s="34"/>
      <c r="G512" s="34"/>
      <c r="H512" s="34"/>
    </row>
    <row r="513">
      <c r="F513" s="34"/>
      <c r="G513" s="34"/>
      <c r="H513" s="34"/>
    </row>
    <row r="514">
      <c r="F514" s="34"/>
      <c r="G514" s="34"/>
      <c r="H514" s="34"/>
    </row>
    <row r="515">
      <c r="F515" s="34"/>
      <c r="G515" s="34"/>
      <c r="H515" s="34"/>
    </row>
    <row r="516">
      <c r="F516" s="34"/>
      <c r="G516" s="34"/>
      <c r="H516" s="34"/>
    </row>
    <row r="517">
      <c r="F517" s="34"/>
      <c r="G517" s="34"/>
      <c r="H517" s="34"/>
    </row>
    <row r="518">
      <c r="F518" s="34"/>
      <c r="G518" s="34"/>
      <c r="H518" s="34"/>
    </row>
    <row r="519">
      <c r="F519" s="34"/>
      <c r="G519" s="34"/>
      <c r="H519" s="34"/>
    </row>
    <row r="520">
      <c r="F520" s="34"/>
      <c r="G520" s="34"/>
      <c r="H520" s="34"/>
    </row>
    <row r="521">
      <c r="F521" s="34"/>
      <c r="G521" s="34"/>
      <c r="H521" s="34"/>
    </row>
    <row r="522">
      <c r="F522" s="34"/>
      <c r="G522" s="34"/>
      <c r="H522" s="34"/>
    </row>
    <row r="523">
      <c r="F523" s="34"/>
      <c r="G523" s="34"/>
      <c r="H523" s="34"/>
    </row>
    <row r="524">
      <c r="F524" s="34"/>
      <c r="G524" s="34"/>
      <c r="H524" s="34"/>
    </row>
    <row r="525">
      <c r="F525" s="34"/>
      <c r="G525" s="34"/>
      <c r="H525" s="34"/>
    </row>
    <row r="526">
      <c r="F526" s="34"/>
      <c r="G526" s="34"/>
      <c r="H526" s="34"/>
    </row>
    <row r="527">
      <c r="F527" s="34"/>
      <c r="G527" s="34"/>
      <c r="H527" s="34"/>
    </row>
    <row r="528">
      <c r="F528" s="34"/>
      <c r="G528" s="34"/>
      <c r="H528" s="34"/>
    </row>
    <row r="529">
      <c r="F529" s="34"/>
      <c r="G529" s="34"/>
      <c r="H529" s="34"/>
    </row>
    <row r="530">
      <c r="F530" s="34"/>
      <c r="G530" s="34"/>
      <c r="H530" s="34"/>
    </row>
    <row r="531">
      <c r="F531" s="34"/>
      <c r="G531" s="34"/>
      <c r="H531" s="34"/>
    </row>
    <row r="532">
      <c r="F532" s="34"/>
      <c r="G532" s="34"/>
      <c r="H532" s="34"/>
    </row>
    <row r="533">
      <c r="F533" s="34"/>
      <c r="G533" s="34"/>
      <c r="H533" s="34"/>
    </row>
    <row r="534">
      <c r="F534" s="34"/>
      <c r="G534" s="34"/>
      <c r="H534" s="34"/>
    </row>
    <row r="535">
      <c r="F535" s="34"/>
      <c r="G535" s="34"/>
      <c r="H535" s="34"/>
    </row>
    <row r="536">
      <c r="F536" s="34"/>
      <c r="G536" s="34"/>
      <c r="H536" s="34"/>
    </row>
    <row r="537">
      <c r="F537" s="34"/>
      <c r="G537" s="34"/>
      <c r="H537" s="34"/>
    </row>
    <row r="538">
      <c r="F538" s="34"/>
      <c r="G538" s="34"/>
      <c r="H538" s="34"/>
    </row>
    <row r="539">
      <c r="F539" s="34"/>
      <c r="G539" s="34"/>
      <c r="H539" s="34"/>
    </row>
    <row r="540">
      <c r="F540" s="34"/>
      <c r="G540" s="34"/>
      <c r="H540" s="34"/>
    </row>
    <row r="541">
      <c r="F541" s="34"/>
      <c r="G541" s="34"/>
      <c r="H541" s="34"/>
    </row>
    <row r="542">
      <c r="F542" s="34"/>
      <c r="G542" s="34"/>
      <c r="H542" s="34"/>
    </row>
    <row r="543">
      <c r="F543" s="34"/>
      <c r="G543" s="34"/>
      <c r="H543" s="34"/>
    </row>
    <row r="544">
      <c r="F544" s="34"/>
      <c r="G544" s="34"/>
      <c r="H544" s="34"/>
    </row>
    <row r="545">
      <c r="F545" s="34"/>
      <c r="G545" s="34"/>
      <c r="H545" s="34"/>
    </row>
    <row r="546">
      <c r="F546" s="34"/>
      <c r="G546" s="34"/>
      <c r="H546" s="34"/>
    </row>
    <row r="547">
      <c r="F547" s="34"/>
      <c r="G547" s="34"/>
      <c r="H547" s="34"/>
    </row>
    <row r="548">
      <c r="F548" s="34"/>
      <c r="G548" s="34"/>
      <c r="H548" s="34"/>
    </row>
    <row r="549">
      <c r="F549" s="34"/>
      <c r="G549" s="34"/>
      <c r="H549" s="34"/>
    </row>
    <row r="550">
      <c r="F550" s="34"/>
      <c r="G550" s="34"/>
      <c r="H550" s="34"/>
    </row>
    <row r="551">
      <c r="F551" s="34"/>
      <c r="G551" s="34"/>
      <c r="H551" s="34"/>
    </row>
    <row r="552">
      <c r="F552" s="34"/>
      <c r="G552" s="34"/>
      <c r="H552" s="34"/>
    </row>
    <row r="553">
      <c r="F553" s="34"/>
      <c r="G553" s="34"/>
      <c r="H553" s="34"/>
    </row>
    <row r="554">
      <c r="F554" s="34"/>
      <c r="G554" s="34"/>
      <c r="H554" s="34"/>
    </row>
    <row r="555">
      <c r="F555" s="34"/>
      <c r="G555" s="34"/>
      <c r="H555" s="34"/>
    </row>
    <row r="556">
      <c r="F556" s="34"/>
      <c r="G556" s="34"/>
      <c r="H556" s="34"/>
    </row>
    <row r="557">
      <c r="F557" s="34"/>
      <c r="G557" s="34"/>
      <c r="H557" s="34"/>
    </row>
    <row r="558">
      <c r="F558" s="34"/>
      <c r="G558" s="34"/>
      <c r="H558" s="34"/>
    </row>
    <row r="559">
      <c r="F559" s="34"/>
      <c r="G559" s="34"/>
      <c r="H559" s="34"/>
    </row>
    <row r="560">
      <c r="F560" s="34"/>
      <c r="G560" s="34"/>
      <c r="H560" s="34"/>
    </row>
    <row r="561">
      <c r="F561" s="34"/>
      <c r="G561" s="34"/>
      <c r="H561" s="34"/>
    </row>
    <row r="562">
      <c r="F562" s="34"/>
      <c r="G562" s="34"/>
      <c r="H562" s="34"/>
    </row>
    <row r="563">
      <c r="F563" s="34"/>
      <c r="G563" s="34"/>
      <c r="H563" s="34"/>
    </row>
    <row r="564">
      <c r="F564" s="34"/>
      <c r="G564" s="34"/>
      <c r="H564" s="34"/>
    </row>
    <row r="565">
      <c r="F565" s="34"/>
      <c r="G565" s="34"/>
      <c r="H565" s="34"/>
    </row>
    <row r="566">
      <c r="F566" s="34"/>
      <c r="G566" s="34"/>
      <c r="H566" s="34"/>
    </row>
    <row r="567">
      <c r="F567" s="34"/>
      <c r="G567" s="34"/>
      <c r="H567" s="34"/>
    </row>
    <row r="568">
      <c r="F568" s="34"/>
      <c r="G568" s="34"/>
      <c r="H568" s="34"/>
    </row>
    <row r="569">
      <c r="F569" s="34"/>
      <c r="G569" s="34"/>
      <c r="H569" s="34"/>
    </row>
    <row r="570">
      <c r="F570" s="34"/>
      <c r="G570" s="34"/>
      <c r="H570" s="34"/>
    </row>
    <row r="571">
      <c r="F571" s="34"/>
      <c r="G571" s="34"/>
      <c r="H571" s="34"/>
    </row>
    <row r="572">
      <c r="F572" s="34"/>
      <c r="G572" s="34"/>
      <c r="H572" s="34"/>
    </row>
    <row r="573">
      <c r="F573" s="34"/>
      <c r="G573" s="34"/>
      <c r="H573" s="34"/>
    </row>
    <row r="574">
      <c r="F574" s="34"/>
      <c r="G574" s="34"/>
      <c r="H574" s="34"/>
    </row>
    <row r="575">
      <c r="F575" s="34"/>
      <c r="G575" s="34"/>
      <c r="H575" s="34"/>
    </row>
    <row r="576">
      <c r="F576" s="34"/>
      <c r="G576" s="34"/>
      <c r="H576" s="34"/>
    </row>
    <row r="577">
      <c r="F577" s="34"/>
      <c r="G577" s="34"/>
      <c r="H577" s="34"/>
    </row>
    <row r="578">
      <c r="F578" s="34"/>
      <c r="G578" s="34"/>
      <c r="H578" s="34"/>
    </row>
    <row r="579">
      <c r="F579" s="34"/>
      <c r="G579" s="34"/>
      <c r="H579" s="34"/>
    </row>
    <row r="580">
      <c r="F580" s="34"/>
      <c r="G580" s="34"/>
      <c r="H580" s="34"/>
    </row>
    <row r="581">
      <c r="F581" s="34"/>
      <c r="G581" s="34"/>
      <c r="H581" s="34"/>
    </row>
    <row r="582">
      <c r="F582" s="34"/>
      <c r="G582" s="34"/>
      <c r="H582" s="34"/>
    </row>
    <row r="583">
      <c r="F583" s="34"/>
      <c r="G583" s="34"/>
      <c r="H583" s="34"/>
    </row>
    <row r="584">
      <c r="F584" s="34"/>
      <c r="G584" s="34"/>
      <c r="H584" s="34"/>
    </row>
    <row r="585">
      <c r="F585" s="34"/>
      <c r="G585" s="34"/>
      <c r="H585" s="34"/>
    </row>
    <row r="586">
      <c r="F586" s="34"/>
      <c r="G586" s="34"/>
      <c r="H586" s="34"/>
    </row>
    <row r="587">
      <c r="F587" s="34"/>
      <c r="G587" s="34"/>
      <c r="H587" s="34"/>
    </row>
    <row r="588">
      <c r="F588" s="34"/>
      <c r="G588" s="34"/>
      <c r="H588" s="34"/>
    </row>
    <row r="589">
      <c r="F589" s="34"/>
      <c r="G589" s="34"/>
      <c r="H589" s="34"/>
    </row>
    <row r="590">
      <c r="F590" s="34"/>
      <c r="G590" s="34"/>
      <c r="H590" s="34"/>
    </row>
    <row r="591">
      <c r="F591" s="34"/>
      <c r="G591" s="34"/>
      <c r="H591" s="34"/>
    </row>
    <row r="592">
      <c r="F592" s="34"/>
      <c r="G592" s="34"/>
      <c r="H592" s="34"/>
    </row>
    <row r="593">
      <c r="F593" s="34"/>
      <c r="G593" s="34"/>
      <c r="H593" s="34"/>
    </row>
    <row r="594">
      <c r="F594" s="34"/>
      <c r="G594" s="34"/>
      <c r="H594" s="34"/>
    </row>
    <row r="595">
      <c r="F595" s="34"/>
      <c r="G595" s="34"/>
      <c r="H595" s="34"/>
    </row>
    <row r="596">
      <c r="F596" s="34"/>
      <c r="G596" s="34"/>
      <c r="H596" s="34"/>
    </row>
    <row r="597">
      <c r="F597" s="34"/>
      <c r="G597" s="34"/>
      <c r="H597" s="34"/>
    </row>
    <row r="598">
      <c r="F598" s="34"/>
      <c r="G598" s="34"/>
      <c r="H598" s="34"/>
    </row>
    <row r="599">
      <c r="F599" s="34"/>
      <c r="G599" s="34"/>
      <c r="H599" s="34"/>
    </row>
    <row r="600">
      <c r="F600" s="34"/>
      <c r="G600" s="34"/>
      <c r="H600" s="34"/>
    </row>
    <row r="601">
      <c r="F601" s="34"/>
      <c r="G601" s="34"/>
      <c r="H601" s="34"/>
    </row>
    <row r="602">
      <c r="F602" s="34"/>
      <c r="G602" s="34"/>
      <c r="H602" s="34"/>
    </row>
    <row r="603">
      <c r="F603" s="34"/>
      <c r="G603" s="34"/>
      <c r="H603" s="34"/>
    </row>
    <row r="604">
      <c r="F604" s="34"/>
      <c r="G604" s="34"/>
      <c r="H604" s="34"/>
    </row>
    <row r="605">
      <c r="F605" s="34"/>
      <c r="G605" s="34"/>
      <c r="H605" s="34"/>
    </row>
    <row r="606">
      <c r="F606" s="34"/>
      <c r="G606" s="34"/>
      <c r="H606" s="34"/>
    </row>
    <row r="607">
      <c r="F607" s="34"/>
      <c r="G607" s="34"/>
      <c r="H607" s="34"/>
    </row>
    <row r="608">
      <c r="F608" s="34"/>
      <c r="G608" s="34"/>
      <c r="H608" s="34"/>
    </row>
    <row r="609">
      <c r="F609" s="34"/>
      <c r="G609" s="34"/>
      <c r="H609" s="34"/>
    </row>
    <row r="610">
      <c r="F610" s="34"/>
      <c r="G610" s="34"/>
      <c r="H610" s="34"/>
    </row>
    <row r="611">
      <c r="F611" s="34"/>
      <c r="G611" s="34"/>
      <c r="H611" s="34"/>
    </row>
    <row r="612">
      <c r="F612" s="34"/>
      <c r="G612" s="34"/>
      <c r="H612" s="34"/>
    </row>
    <row r="613">
      <c r="F613" s="34"/>
      <c r="G613" s="34"/>
      <c r="H613" s="34"/>
    </row>
    <row r="614">
      <c r="F614" s="34"/>
      <c r="G614" s="34"/>
      <c r="H614" s="34"/>
    </row>
    <row r="615">
      <c r="F615" s="34"/>
      <c r="G615" s="34"/>
      <c r="H615" s="34"/>
    </row>
    <row r="616">
      <c r="F616" s="34"/>
      <c r="G616" s="34"/>
      <c r="H616" s="34"/>
    </row>
    <row r="617">
      <c r="F617" s="34"/>
      <c r="G617" s="34"/>
      <c r="H617" s="34"/>
    </row>
    <row r="618">
      <c r="F618" s="34"/>
      <c r="G618" s="34"/>
      <c r="H618" s="34"/>
    </row>
    <row r="619">
      <c r="F619" s="34"/>
      <c r="G619" s="34"/>
      <c r="H619" s="34"/>
    </row>
    <row r="620">
      <c r="F620" s="34"/>
      <c r="G620" s="34"/>
      <c r="H620" s="34"/>
    </row>
    <row r="621">
      <c r="F621" s="34"/>
      <c r="G621" s="34"/>
      <c r="H621" s="34"/>
    </row>
    <row r="622">
      <c r="F622" s="34"/>
      <c r="G622" s="34"/>
      <c r="H622" s="34"/>
    </row>
    <row r="623">
      <c r="F623" s="34"/>
      <c r="G623" s="34"/>
      <c r="H623" s="34"/>
    </row>
    <row r="624">
      <c r="F624" s="34"/>
      <c r="G624" s="34"/>
      <c r="H624" s="34"/>
    </row>
    <row r="625">
      <c r="F625" s="34"/>
      <c r="G625" s="34"/>
      <c r="H625" s="34"/>
    </row>
    <row r="626">
      <c r="F626" s="34"/>
      <c r="G626" s="34"/>
      <c r="H626" s="34"/>
    </row>
    <row r="627">
      <c r="F627" s="34"/>
      <c r="G627" s="34"/>
      <c r="H627" s="34"/>
    </row>
    <row r="628">
      <c r="F628" s="34"/>
      <c r="G628" s="34"/>
      <c r="H628" s="34"/>
    </row>
    <row r="629">
      <c r="F629" s="34"/>
      <c r="G629" s="34"/>
      <c r="H629" s="34"/>
    </row>
    <row r="630">
      <c r="F630" s="34"/>
      <c r="G630" s="34"/>
      <c r="H630" s="34"/>
    </row>
    <row r="631">
      <c r="F631" s="34"/>
      <c r="G631" s="34"/>
      <c r="H631" s="34"/>
    </row>
    <row r="632">
      <c r="F632" s="34"/>
      <c r="G632" s="34"/>
      <c r="H632" s="34"/>
    </row>
    <row r="633">
      <c r="F633" s="34"/>
      <c r="G633" s="34"/>
      <c r="H633" s="34"/>
    </row>
    <row r="634">
      <c r="F634" s="34"/>
      <c r="G634" s="34"/>
      <c r="H634" s="34"/>
    </row>
    <row r="635">
      <c r="F635" s="34"/>
      <c r="G635" s="34"/>
      <c r="H635" s="34"/>
    </row>
    <row r="636">
      <c r="F636" s="34"/>
      <c r="G636" s="34"/>
      <c r="H636" s="34"/>
    </row>
    <row r="637">
      <c r="F637" s="34"/>
      <c r="G637" s="34"/>
      <c r="H637" s="34"/>
    </row>
    <row r="638">
      <c r="F638" s="34"/>
      <c r="G638" s="34"/>
      <c r="H638" s="34"/>
    </row>
    <row r="639">
      <c r="F639" s="34"/>
      <c r="G639" s="34"/>
      <c r="H639" s="34"/>
    </row>
    <row r="640">
      <c r="F640" s="34"/>
      <c r="G640" s="34"/>
      <c r="H640" s="34"/>
    </row>
    <row r="641">
      <c r="F641" s="34"/>
      <c r="G641" s="34"/>
      <c r="H641" s="34"/>
    </row>
    <row r="642">
      <c r="F642" s="34"/>
      <c r="G642" s="34"/>
      <c r="H642" s="34"/>
    </row>
    <row r="643">
      <c r="F643" s="34"/>
      <c r="G643" s="34"/>
      <c r="H643" s="34"/>
    </row>
    <row r="644">
      <c r="F644" s="34"/>
      <c r="G644" s="34"/>
      <c r="H644" s="34"/>
    </row>
    <row r="645">
      <c r="F645" s="34"/>
      <c r="G645" s="34"/>
      <c r="H645" s="34"/>
    </row>
    <row r="646">
      <c r="F646" s="34"/>
      <c r="G646" s="34"/>
      <c r="H646" s="34"/>
    </row>
    <row r="647">
      <c r="F647" s="34"/>
      <c r="G647" s="34"/>
      <c r="H647" s="34"/>
    </row>
    <row r="648">
      <c r="F648" s="34"/>
      <c r="G648" s="34"/>
      <c r="H648" s="34"/>
    </row>
    <row r="649">
      <c r="F649" s="34"/>
      <c r="G649" s="34"/>
      <c r="H649" s="34"/>
    </row>
    <row r="650">
      <c r="F650" s="34"/>
      <c r="G650" s="34"/>
      <c r="H650" s="34"/>
    </row>
    <row r="651">
      <c r="F651" s="34"/>
      <c r="G651" s="34"/>
      <c r="H651" s="34"/>
    </row>
    <row r="652">
      <c r="F652" s="34"/>
      <c r="G652" s="34"/>
      <c r="H652" s="34"/>
    </row>
    <row r="653">
      <c r="F653" s="34"/>
      <c r="G653" s="34"/>
      <c r="H653" s="34"/>
    </row>
    <row r="654">
      <c r="F654" s="34"/>
      <c r="G654" s="34"/>
      <c r="H654" s="34"/>
    </row>
    <row r="655">
      <c r="F655" s="34"/>
      <c r="G655" s="34"/>
      <c r="H655" s="34"/>
    </row>
    <row r="656">
      <c r="F656" s="34"/>
      <c r="G656" s="34"/>
      <c r="H656" s="34"/>
    </row>
    <row r="657">
      <c r="F657" s="34"/>
      <c r="G657" s="34"/>
      <c r="H657" s="34"/>
    </row>
    <row r="658">
      <c r="F658" s="34"/>
      <c r="G658" s="34"/>
      <c r="H658" s="34"/>
    </row>
    <row r="659">
      <c r="F659" s="34"/>
      <c r="G659" s="34"/>
      <c r="H659" s="34"/>
    </row>
    <row r="660">
      <c r="F660" s="34"/>
      <c r="G660" s="34"/>
      <c r="H660" s="34"/>
    </row>
    <row r="661">
      <c r="F661" s="34"/>
      <c r="G661" s="34"/>
      <c r="H661" s="34"/>
    </row>
    <row r="662">
      <c r="F662" s="34"/>
      <c r="G662" s="34"/>
      <c r="H662" s="34"/>
    </row>
    <row r="663">
      <c r="F663" s="34"/>
      <c r="G663" s="34"/>
      <c r="H663" s="34"/>
    </row>
    <row r="664">
      <c r="F664" s="34"/>
      <c r="G664" s="34"/>
      <c r="H664" s="34"/>
    </row>
    <row r="665">
      <c r="F665" s="34"/>
      <c r="G665" s="34"/>
      <c r="H665" s="34"/>
    </row>
    <row r="666">
      <c r="F666" s="34"/>
      <c r="G666" s="34"/>
      <c r="H666" s="34"/>
    </row>
    <row r="667">
      <c r="F667" s="34"/>
      <c r="G667" s="34"/>
      <c r="H667" s="34"/>
    </row>
    <row r="668">
      <c r="F668" s="34"/>
      <c r="G668" s="34"/>
      <c r="H668" s="34"/>
    </row>
    <row r="669">
      <c r="F669" s="34"/>
      <c r="G669" s="34"/>
      <c r="H669" s="34"/>
    </row>
    <row r="670">
      <c r="F670" s="34"/>
      <c r="G670" s="34"/>
      <c r="H670" s="34"/>
    </row>
    <row r="671">
      <c r="F671" s="34"/>
      <c r="G671" s="34"/>
      <c r="H671" s="34"/>
    </row>
    <row r="672">
      <c r="F672" s="34"/>
      <c r="G672" s="34"/>
      <c r="H672" s="34"/>
    </row>
    <row r="673">
      <c r="F673" s="34"/>
      <c r="G673" s="34"/>
      <c r="H673" s="34"/>
    </row>
    <row r="674">
      <c r="F674" s="34"/>
      <c r="G674" s="34"/>
      <c r="H674" s="34"/>
    </row>
    <row r="675">
      <c r="F675" s="34"/>
      <c r="G675" s="34"/>
      <c r="H675" s="34"/>
    </row>
    <row r="676">
      <c r="F676" s="34"/>
      <c r="G676" s="34"/>
      <c r="H676" s="34"/>
    </row>
    <row r="677">
      <c r="F677" s="34"/>
      <c r="G677" s="34"/>
      <c r="H677" s="34"/>
    </row>
    <row r="678">
      <c r="F678" s="34"/>
      <c r="G678" s="34"/>
      <c r="H678" s="34"/>
    </row>
    <row r="679">
      <c r="F679" s="34"/>
      <c r="G679" s="34"/>
      <c r="H679" s="34"/>
    </row>
    <row r="680">
      <c r="F680" s="34"/>
      <c r="G680" s="34"/>
      <c r="H680" s="34"/>
    </row>
    <row r="681">
      <c r="F681" s="34"/>
      <c r="G681" s="34"/>
      <c r="H681" s="34"/>
    </row>
    <row r="682">
      <c r="F682" s="34"/>
      <c r="G682" s="34"/>
      <c r="H682" s="34"/>
    </row>
    <row r="683">
      <c r="F683" s="34"/>
      <c r="G683" s="34"/>
      <c r="H683" s="34"/>
    </row>
    <row r="684">
      <c r="F684" s="34"/>
      <c r="G684" s="34"/>
      <c r="H684" s="34"/>
    </row>
    <row r="685">
      <c r="F685" s="34"/>
      <c r="G685" s="34"/>
      <c r="H685" s="34"/>
    </row>
    <row r="686">
      <c r="F686" s="34"/>
      <c r="G686" s="34"/>
      <c r="H686" s="34"/>
    </row>
    <row r="687">
      <c r="F687" s="34"/>
      <c r="G687" s="34"/>
      <c r="H687" s="34"/>
    </row>
    <row r="688">
      <c r="F688" s="34"/>
      <c r="G688" s="34"/>
      <c r="H688" s="34"/>
    </row>
    <row r="689">
      <c r="F689" s="34"/>
      <c r="G689" s="34"/>
      <c r="H689" s="34"/>
    </row>
    <row r="690">
      <c r="F690" s="34"/>
      <c r="G690" s="34"/>
      <c r="H690" s="34"/>
    </row>
    <row r="691">
      <c r="F691" s="34"/>
      <c r="G691" s="34"/>
      <c r="H691" s="34"/>
    </row>
    <row r="692">
      <c r="F692" s="34"/>
      <c r="G692" s="34"/>
      <c r="H692" s="34"/>
    </row>
    <row r="693">
      <c r="F693" s="34"/>
      <c r="G693" s="34"/>
      <c r="H693" s="34"/>
    </row>
    <row r="694">
      <c r="F694" s="34"/>
      <c r="G694" s="34"/>
      <c r="H694" s="34"/>
    </row>
    <row r="695">
      <c r="F695" s="34"/>
      <c r="G695" s="34"/>
      <c r="H695" s="34"/>
    </row>
    <row r="696">
      <c r="F696" s="34"/>
      <c r="G696" s="34"/>
      <c r="H696" s="34"/>
    </row>
    <row r="697">
      <c r="F697" s="34"/>
      <c r="G697" s="34"/>
      <c r="H697" s="34"/>
    </row>
    <row r="698">
      <c r="F698" s="34"/>
      <c r="G698" s="34"/>
      <c r="H698" s="34"/>
    </row>
    <row r="699">
      <c r="F699" s="34"/>
      <c r="G699" s="34"/>
      <c r="H699" s="34"/>
    </row>
    <row r="700">
      <c r="F700" s="34"/>
      <c r="G700" s="34"/>
      <c r="H700" s="34"/>
    </row>
    <row r="701">
      <c r="F701" s="34"/>
      <c r="G701" s="34"/>
      <c r="H701" s="34"/>
    </row>
    <row r="702">
      <c r="F702" s="34"/>
      <c r="G702" s="34"/>
      <c r="H702" s="34"/>
    </row>
    <row r="703">
      <c r="F703" s="34"/>
      <c r="G703" s="34"/>
      <c r="H703" s="34"/>
    </row>
    <row r="704">
      <c r="F704" s="34"/>
      <c r="G704" s="34"/>
      <c r="H704" s="34"/>
    </row>
    <row r="705">
      <c r="F705" s="34"/>
      <c r="G705" s="34"/>
      <c r="H705" s="34"/>
    </row>
    <row r="706">
      <c r="F706" s="34"/>
      <c r="G706" s="34"/>
      <c r="H706" s="34"/>
    </row>
    <row r="707">
      <c r="F707" s="34"/>
      <c r="G707" s="34"/>
      <c r="H707" s="34"/>
    </row>
    <row r="708">
      <c r="F708" s="34"/>
      <c r="G708" s="34"/>
      <c r="H708" s="34"/>
    </row>
    <row r="709">
      <c r="F709" s="34"/>
      <c r="G709" s="34"/>
      <c r="H709" s="34"/>
    </row>
    <row r="710">
      <c r="F710" s="34"/>
      <c r="G710" s="34"/>
      <c r="H710" s="34"/>
    </row>
    <row r="711">
      <c r="F711" s="34"/>
      <c r="G711" s="34"/>
      <c r="H711" s="34"/>
    </row>
    <row r="712">
      <c r="F712" s="34"/>
      <c r="G712" s="34"/>
      <c r="H712" s="34"/>
    </row>
    <row r="713">
      <c r="F713" s="34"/>
      <c r="G713" s="34"/>
      <c r="H713" s="34"/>
    </row>
    <row r="714">
      <c r="F714" s="34"/>
      <c r="G714" s="34"/>
      <c r="H714" s="34"/>
    </row>
    <row r="715">
      <c r="F715" s="34"/>
      <c r="G715" s="34"/>
      <c r="H715" s="34"/>
    </row>
    <row r="716">
      <c r="F716" s="34"/>
      <c r="G716" s="34"/>
      <c r="H716" s="34"/>
    </row>
    <row r="717">
      <c r="F717" s="34"/>
      <c r="G717" s="34"/>
      <c r="H717" s="34"/>
    </row>
    <row r="718">
      <c r="F718" s="34"/>
      <c r="G718" s="34"/>
      <c r="H718" s="34"/>
    </row>
    <row r="719">
      <c r="F719" s="34"/>
      <c r="G719" s="34"/>
      <c r="H719" s="34"/>
    </row>
    <row r="720">
      <c r="F720" s="34"/>
      <c r="G720" s="34"/>
      <c r="H720" s="34"/>
    </row>
    <row r="721">
      <c r="F721" s="34"/>
      <c r="G721" s="34"/>
      <c r="H721" s="34"/>
    </row>
    <row r="722">
      <c r="F722" s="34"/>
      <c r="G722" s="34"/>
      <c r="H722" s="34"/>
    </row>
    <row r="723">
      <c r="F723" s="34"/>
      <c r="G723" s="34"/>
      <c r="H723" s="34"/>
    </row>
    <row r="724">
      <c r="F724" s="34"/>
      <c r="G724" s="34"/>
      <c r="H724" s="34"/>
    </row>
    <row r="725">
      <c r="F725" s="34"/>
      <c r="G725" s="34"/>
      <c r="H725" s="34"/>
    </row>
    <row r="726">
      <c r="F726" s="34"/>
      <c r="G726" s="34"/>
      <c r="H726" s="34"/>
    </row>
    <row r="727">
      <c r="F727" s="34"/>
      <c r="G727" s="34"/>
      <c r="H727" s="34"/>
    </row>
    <row r="728">
      <c r="F728" s="34"/>
      <c r="G728" s="34"/>
      <c r="H728" s="34"/>
    </row>
    <row r="729">
      <c r="F729" s="34"/>
      <c r="G729" s="34"/>
      <c r="H729" s="34"/>
    </row>
    <row r="730">
      <c r="F730" s="34"/>
      <c r="G730" s="34"/>
      <c r="H730" s="34"/>
    </row>
    <row r="731">
      <c r="F731" s="34"/>
      <c r="G731" s="34"/>
      <c r="H731" s="34"/>
    </row>
    <row r="732">
      <c r="F732" s="34"/>
      <c r="G732" s="34"/>
      <c r="H732" s="34"/>
    </row>
    <row r="733">
      <c r="F733" s="34"/>
      <c r="G733" s="34"/>
      <c r="H733" s="34"/>
    </row>
    <row r="734">
      <c r="F734" s="34"/>
      <c r="G734" s="34"/>
      <c r="H734" s="34"/>
    </row>
    <row r="735">
      <c r="F735" s="34"/>
      <c r="G735" s="34"/>
      <c r="H735" s="34"/>
    </row>
    <row r="736">
      <c r="F736" s="34"/>
      <c r="G736" s="34"/>
      <c r="H736" s="34"/>
    </row>
    <row r="737">
      <c r="F737" s="34"/>
      <c r="G737" s="34"/>
      <c r="H737" s="34"/>
    </row>
    <row r="738">
      <c r="F738" s="34"/>
      <c r="G738" s="34"/>
      <c r="H738" s="34"/>
    </row>
    <row r="739">
      <c r="F739" s="34"/>
      <c r="G739" s="34"/>
      <c r="H739" s="34"/>
    </row>
    <row r="740">
      <c r="F740" s="34"/>
      <c r="G740" s="34"/>
      <c r="H740" s="34"/>
    </row>
    <row r="741">
      <c r="F741" s="34"/>
      <c r="G741" s="34"/>
      <c r="H741" s="34"/>
    </row>
    <row r="742">
      <c r="F742" s="34"/>
      <c r="G742" s="34"/>
      <c r="H742" s="34"/>
    </row>
    <row r="743">
      <c r="F743" s="34"/>
      <c r="G743" s="34"/>
      <c r="H743" s="34"/>
    </row>
    <row r="744">
      <c r="F744" s="34"/>
      <c r="G744" s="34"/>
      <c r="H744" s="34"/>
    </row>
    <row r="745">
      <c r="F745" s="34"/>
      <c r="G745" s="34"/>
      <c r="H745" s="34"/>
    </row>
    <row r="746">
      <c r="F746" s="34"/>
      <c r="G746" s="34"/>
      <c r="H746" s="34"/>
    </row>
    <row r="747">
      <c r="F747" s="34"/>
      <c r="G747" s="34"/>
      <c r="H747" s="34"/>
    </row>
    <row r="748">
      <c r="F748" s="34"/>
      <c r="G748" s="34"/>
      <c r="H748" s="34"/>
    </row>
    <row r="749">
      <c r="F749" s="34"/>
      <c r="G749" s="34"/>
      <c r="H749" s="34"/>
    </row>
    <row r="750">
      <c r="F750" s="34"/>
      <c r="G750" s="34"/>
      <c r="H750" s="34"/>
    </row>
    <row r="751">
      <c r="F751" s="34"/>
      <c r="G751" s="34"/>
      <c r="H751" s="34"/>
    </row>
    <row r="752">
      <c r="F752" s="34"/>
      <c r="G752" s="34"/>
      <c r="H752" s="34"/>
    </row>
    <row r="753">
      <c r="F753" s="34"/>
      <c r="G753" s="34"/>
      <c r="H753" s="34"/>
    </row>
    <row r="754">
      <c r="F754" s="34"/>
      <c r="G754" s="34"/>
      <c r="H754" s="34"/>
    </row>
    <row r="755">
      <c r="F755" s="34"/>
      <c r="G755" s="34"/>
      <c r="H755" s="34"/>
    </row>
    <row r="756">
      <c r="F756" s="34"/>
      <c r="G756" s="34"/>
      <c r="H756" s="34"/>
    </row>
    <row r="757">
      <c r="F757" s="34"/>
      <c r="G757" s="34"/>
      <c r="H757" s="34"/>
    </row>
    <row r="758">
      <c r="F758" s="34"/>
      <c r="G758" s="34"/>
      <c r="H758" s="34"/>
    </row>
    <row r="759">
      <c r="F759" s="34"/>
      <c r="G759" s="34"/>
      <c r="H759" s="34"/>
    </row>
    <row r="760">
      <c r="F760" s="34"/>
      <c r="G760" s="34"/>
      <c r="H760" s="34"/>
    </row>
    <row r="761">
      <c r="F761" s="34"/>
      <c r="G761" s="34"/>
      <c r="H761" s="34"/>
    </row>
    <row r="762">
      <c r="F762" s="34"/>
      <c r="G762" s="34"/>
      <c r="H762" s="34"/>
    </row>
    <row r="763">
      <c r="F763" s="34"/>
      <c r="G763" s="34"/>
      <c r="H763" s="34"/>
    </row>
    <row r="764">
      <c r="F764" s="34"/>
      <c r="G764" s="34"/>
      <c r="H764" s="34"/>
    </row>
    <row r="765">
      <c r="F765" s="34"/>
      <c r="G765" s="34"/>
      <c r="H765" s="34"/>
    </row>
    <row r="766">
      <c r="F766" s="34"/>
      <c r="G766" s="34"/>
      <c r="H766" s="34"/>
    </row>
    <row r="767">
      <c r="F767" s="34"/>
      <c r="G767" s="34"/>
      <c r="H767" s="34"/>
    </row>
    <row r="768">
      <c r="F768" s="34"/>
      <c r="G768" s="34"/>
      <c r="H768" s="34"/>
    </row>
    <row r="769">
      <c r="F769" s="34"/>
      <c r="G769" s="34"/>
      <c r="H769" s="34"/>
    </row>
    <row r="770">
      <c r="F770" s="34"/>
      <c r="G770" s="34"/>
      <c r="H770" s="34"/>
    </row>
    <row r="771">
      <c r="F771" s="34"/>
      <c r="G771" s="34"/>
      <c r="H771" s="34"/>
    </row>
    <row r="772">
      <c r="F772" s="34"/>
      <c r="G772" s="34"/>
      <c r="H772" s="34"/>
    </row>
    <row r="773">
      <c r="F773" s="34"/>
      <c r="G773" s="34"/>
      <c r="H773" s="34"/>
    </row>
    <row r="774">
      <c r="F774" s="34"/>
      <c r="G774" s="34"/>
      <c r="H774" s="34"/>
    </row>
    <row r="775">
      <c r="F775" s="34"/>
      <c r="G775" s="34"/>
      <c r="H775" s="34"/>
    </row>
    <row r="776">
      <c r="F776" s="34"/>
      <c r="G776" s="34"/>
      <c r="H776" s="34"/>
    </row>
    <row r="777">
      <c r="F777" s="34"/>
      <c r="G777" s="34"/>
      <c r="H777" s="34"/>
    </row>
    <row r="778">
      <c r="F778" s="34"/>
      <c r="G778" s="34"/>
      <c r="H778" s="34"/>
    </row>
    <row r="779">
      <c r="F779" s="34"/>
      <c r="G779" s="34"/>
      <c r="H779" s="34"/>
    </row>
    <row r="780">
      <c r="F780" s="34"/>
      <c r="G780" s="34"/>
      <c r="H780" s="34"/>
    </row>
    <row r="781">
      <c r="F781" s="34"/>
      <c r="G781" s="34"/>
      <c r="H781" s="34"/>
    </row>
    <row r="782">
      <c r="F782" s="34"/>
      <c r="G782" s="34"/>
      <c r="H782" s="34"/>
    </row>
    <row r="783">
      <c r="F783" s="34"/>
      <c r="G783" s="34"/>
      <c r="H783" s="34"/>
    </row>
    <row r="784">
      <c r="F784" s="34"/>
      <c r="G784" s="34"/>
      <c r="H784" s="34"/>
    </row>
    <row r="785">
      <c r="F785" s="34"/>
      <c r="G785" s="34"/>
      <c r="H785" s="34"/>
    </row>
    <row r="786">
      <c r="F786" s="34"/>
      <c r="G786" s="34"/>
      <c r="H786" s="34"/>
    </row>
    <row r="787">
      <c r="F787" s="34"/>
      <c r="G787" s="34"/>
      <c r="H787" s="34"/>
    </row>
    <row r="788">
      <c r="F788" s="34"/>
      <c r="G788" s="34"/>
      <c r="H788" s="34"/>
    </row>
    <row r="789">
      <c r="F789" s="34"/>
      <c r="G789" s="34"/>
      <c r="H789" s="34"/>
    </row>
    <row r="790">
      <c r="F790" s="34"/>
      <c r="G790" s="34"/>
      <c r="H790" s="34"/>
    </row>
    <row r="791">
      <c r="F791" s="34"/>
      <c r="G791" s="34"/>
      <c r="H791" s="34"/>
    </row>
    <row r="792">
      <c r="F792" s="34"/>
      <c r="G792" s="34"/>
      <c r="H792" s="34"/>
    </row>
    <row r="793">
      <c r="F793" s="34"/>
      <c r="G793" s="34"/>
      <c r="H793" s="34"/>
    </row>
    <row r="794">
      <c r="F794" s="34"/>
      <c r="G794" s="34"/>
      <c r="H794" s="34"/>
    </row>
    <row r="795">
      <c r="F795" s="34"/>
      <c r="G795" s="34"/>
      <c r="H795" s="34"/>
    </row>
    <row r="796">
      <c r="F796" s="34"/>
      <c r="G796" s="34"/>
      <c r="H796" s="34"/>
    </row>
    <row r="797">
      <c r="F797" s="34"/>
      <c r="G797" s="34"/>
      <c r="H797" s="34"/>
    </row>
    <row r="798">
      <c r="F798" s="34"/>
      <c r="G798" s="34"/>
      <c r="H798" s="34"/>
    </row>
    <row r="799">
      <c r="F799" s="34"/>
      <c r="G799" s="34"/>
      <c r="H799" s="34"/>
    </row>
    <row r="800">
      <c r="F800" s="34"/>
      <c r="G800" s="34"/>
      <c r="H800" s="34"/>
    </row>
    <row r="801">
      <c r="F801" s="34"/>
      <c r="G801" s="34"/>
      <c r="H801" s="34"/>
    </row>
    <row r="802">
      <c r="F802" s="34"/>
      <c r="G802" s="34"/>
      <c r="H802" s="34"/>
    </row>
    <row r="803">
      <c r="F803" s="34"/>
      <c r="G803" s="34"/>
      <c r="H803" s="34"/>
    </row>
    <row r="804">
      <c r="F804" s="34"/>
      <c r="G804" s="34"/>
      <c r="H804" s="34"/>
    </row>
    <row r="805">
      <c r="F805" s="34"/>
      <c r="G805" s="34"/>
      <c r="H805" s="34"/>
    </row>
    <row r="806">
      <c r="F806" s="34"/>
      <c r="G806" s="34"/>
      <c r="H806" s="34"/>
    </row>
    <row r="807">
      <c r="F807" s="34"/>
      <c r="G807" s="34"/>
      <c r="H807" s="34"/>
    </row>
    <row r="808">
      <c r="F808" s="34"/>
      <c r="G808" s="34"/>
      <c r="H808" s="34"/>
    </row>
    <row r="809">
      <c r="F809" s="34"/>
      <c r="G809" s="34"/>
      <c r="H809" s="34"/>
    </row>
    <row r="810">
      <c r="F810" s="34"/>
      <c r="G810" s="34"/>
      <c r="H810" s="34"/>
    </row>
    <row r="811">
      <c r="F811" s="34"/>
      <c r="G811" s="34"/>
      <c r="H811" s="34"/>
    </row>
    <row r="812">
      <c r="F812" s="34"/>
      <c r="G812" s="34"/>
      <c r="H812" s="34"/>
    </row>
    <row r="813">
      <c r="F813" s="34"/>
      <c r="G813" s="34"/>
      <c r="H813" s="34"/>
    </row>
    <row r="814">
      <c r="F814" s="34"/>
      <c r="G814" s="34"/>
      <c r="H814" s="34"/>
    </row>
    <row r="815">
      <c r="F815" s="34"/>
      <c r="G815" s="34"/>
      <c r="H815" s="34"/>
    </row>
    <row r="816">
      <c r="F816" s="34"/>
      <c r="G816" s="34"/>
      <c r="H816" s="34"/>
    </row>
    <row r="817">
      <c r="F817" s="34"/>
      <c r="G817" s="34"/>
      <c r="H817" s="34"/>
    </row>
    <row r="818">
      <c r="F818" s="34"/>
      <c r="G818" s="34"/>
      <c r="H818" s="34"/>
    </row>
    <row r="819">
      <c r="F819" s="34"/>
      <c r="G819" s="34"/>
      <c r="H819" s="34"/>
    </row>
    <row r="820">
      <c r="F820" s="34"/>
      <c r="G820" s="34"/>
      <c r="H820" s="34"/>
    </row>
    <row r="821">
      <c r="F821" s="34"/>
      <c r="G821" s="34"/>
      <c r="H821" s="34"/>
    </row>
    <row r="822">
      <c r="F822" s="34"/>
      <c r="G822" s="34"/>
      <c r="H822" s="34"/>
    </row>
    <row r="823">
      <c r="F823" s="34"/>
      <c r="G823" s="34"/>
      <c r="H823" s="34"/>
    </row>
    <row r="824">
      <c r="F824" s="34"/>
      <c r="G824" s="34"/>
      <c r="H824" s="34"/>
    </row>
    <row r="825">
      <c r="F825" s="34"/>
      <c r="G825" s="34"/>
      <c r="H825" s="34"/>
    </row>
    <row r="826">
      <c r="F826" s="34"/>
      <c r="G826" s="34"/>
      <c r="H826" s="34"/>
    </row>
    <row r="827">
      <c r="F827" s="34"/>
      <c r="G827" s="34"/>
      <c r="H827" s="34"/>
    </row>
    <row r="828">
      <c r="F828" s="34"/>
      <c r="G828" s="34"/>
      <c r="H828" s="34"/>
    </row>
    <row r="829">
      <c r="F829" s="34"/>
      <c r="G829" s="34"/>
      <c r="H829" s="34"/>
    </row>
    <row r="830">
      <c r="F830" s="34"/>
      <c r="G830" s="34"/>
      <c r="H830" s="34"/>
    </row>
    <row r="831">
      <c r="F831" s="34"/>
      <c r="G831" s="34"/>
      <c r="H831" s="34"/>
    </row>
    <row r="832">
      <c r="F832" s="34"/>
      <c r="G832" s="34"/>
      <c r="H832" s="34"/>
    </row>
    <row r="833">
      <c r="F833" s="34"/>
      <c r="G833" s="34"/>
      <c r="H833" s="34"/>
    </row>
    <row r="834">
      <c r="F834" s="34"/>
      <c r="G834" s="34"/>
      <c r="H834" s="34"/>
    </row>
    <row r="835">
      <c r="F835" s="34"/>
      <c r="G835" s="34"/>
      <c r="H835" s="34"/>
    </row>
    <row r="836">
      <c r="F836" s="34"/>
      <c r="G836" s="34"/>
      <c r="H836" s="34"/>
    </row>
    <row r="837">
      <c r="F837" s="34"/>
      <c r="G837" s="34"/>
      <c r="H837" s="34"/>
    </row>
    <row r="838">
      <c r="F838" s="34"/>
      <c r="G838" s="34"/>
      <c r="H838" s="34"/>
    </row>
    <row r="839">
      <c r="F839" s="34"/>
      <c r="G839" s="34"/>
      <c r="H839" s="34"/>
    </row>
    <row r="840">
      <c r="F840" s="34"/>
      <c r="G840" s="34"/>
      <c r="H840" s="34"/>
    </row>
    <row r="841">
      <c r="F841" s="34"/>
      <c r="G841" s="34"/>
      <c r="H841" s="34"/>
    </row>
    <row r="842">
      <c r="F842" s="34"/>
      <c r="G842" s="34"/>
      <c r="H842" s="34"/>
    </row>
    <row r="843">
      <c r="F843" s="34"/>
      <c r="G843" s="34"/>
      <c r="H843" s="34"/>
    </row>
    <row r="844">
      <c r="F844" s="34"/>
      <c r="G844" s="34"/>
      <c r="H844" s="34"/>
    </row>
    <row r="845">
      <c r="F845" s="34"/>
      <c r="G845" s="34"/>
      <c r="H845" s="34"/>
    </row>
    <row r="846">
      <c r="F846" s="34"/>
      <c r="G846" s="34"/>
      <c r="H846" s="34"/>
    </row>
    <row r="847">
      <c r="F847" s="34"/>
      <c r="G847" s="34"/>
      <c r="H847" s="34"/>
    </row>
    <row r="848">
      <c r="F848" s="34"/>
      <c r="G848" s="34"/>
      <c r="H848" s="34"/>
    </row>
    <row r="849">
      <c r="F849" s="34"/>
      <c r="G849" s="34"/>
      <c r="H849" s="34"/>
    </row>
    <row r="850">
      <c r="F850" s="34"/>
      <c r="G850" s="34"/>
      <c r="H850" s="34"/>
    </row>
    <row r="851">
      <c r="F851" s="34"/>
      <c r="G851" s="34"/>
      <c r="H851" s="34"/>
    </row>
    <row r="852">
      <c r="F852" s="34"/>
      <c r="G852" s="34"/>
      <c r="H852" s="34"/>
    </row>
    <row r="853">
      <c r="F853" s="34"/>
      <c r="G853" s="34"/>
      <c r="H853" s="34"/>
    </row>
    <row r="854">
      <c r="F854" s="34"/>
      <c r="G854" s="34"/>
      <c r="H854" s="34"/>
    </row>
    <row r="855">
      <c r="F855" s="34"/>
      <c r="G855" s="34"/>
      <c r="H855" s="34"/>
    </row>
    <row r="856">
      <c r="F856" s="34"/>
      <c r="G856" s="34"/>
      <c r="H856" s="34"/>
    </row>
    <row r="857">
      <c r="F857" s="34"/>
      <c r="G857" s="34"/>
      <c r="H857" s="34"/>
    </row>
    <row r="858">
      <c r="F858" s="34"/>
      <c r="G858" s="34"/>
      <c r="H858" s="34"/>
    </row>
    <row r="859">
      <c r="F859" s="34"/>
      <c r="G859" s="34"/>
      <c r="H859" s="34"/>
    </row>
    <row r="860">
      <c r="F860" s="34"/>
      <c r="G860" s="34"/>
      <c r="H860" s="34"/>
    </row>
    <row r="861">
      <c r="F861" s="34"/>
      <c r="G861" s="34"/>
      <c r="H861" s="34"/>
    </row>
    <row r="862">
      <c r="F862" s="34"/>
      <c r="G862" s="34"/>
      <c r="H862" s="34"/>
    </row>
    <row r="863">
      <c r="F863" s="34"/>
      <c r="G863" s="34"/>
      <c r="H863" s="34"/>
    </row>
    <row r="864">
      <c r="F864" s="34"/>
      <c r="G864" s="34"/>
      <c r="H864" s="34"/>
    </row>
    <row r="865">
      <c r="F865" s="34"/>
      <c r="G865" s="34"/>
      <c r="H865" s="34"/>
    </row>
    <row r="866">
      <c r="F866" s="34"/>
      <c r="G866" s="34"/>
      <c r="H866" s="34"/>
    </row>
    <row r="867">
      <c r="F867" s="34"/>
      <c r="G867" s="34"/>
      <c r="H867" s="34"/>
    </row>
    <row r="868">
      <c r="F868" s="34"/>
      <c r="G868" s="34"/>
      <c r="H868" s="34"/>
    </row>
    <row r="869">
      <c r="F869" s="34"/>
      <c r="G869" s="34"/>
      <c r="H869" s="34"/>
    </row>
    <row r="870">
      <c r="F870" s="34"/>
      <c r="G870" s="34"/>
      <c r="H870" s="34"/>
    </row>
    <row r="871">
      <c r="F871" s="34"/>
      <c r="G871" s="34"/>
      <c r="H871" s="34"/>
    </row>
    <row r="872">
      <c r="F872" s="34"/>
      <c r="G872" s="34"/>
      <c r="H872" s="34"/>
    </row>
    <row r="873">
      <c r="F873" s="34"/>
      <c r="G873" s="34"/>
      <c r="H873" s="34"/>
    </row>
    <row r="874">
      <c r="F874" s="34"/>
      <c r="G874" s="34"/>
      <c r="H874" s="34"/>
    </row>
    <row r="875">
      <c r="F875" s="34"/>
      <c r="G875" s="34"/>
      <c r="H875" s="34"/>
    </row>
    <row r="876">
      <c r="F876" s="34"/>
      <c r="G876" s="34"/>
      <c r="H876" s="34"/>
    </row>
    <row r="877">
      <c r="F877" s="34"/>
      <c r="G877" s="34"/>
      <c r="H877" s="34"/>
    </row>
    <row r="878">
      <c r="F878" s="34"/>
      <c r="G878" s="34"/>
      <c r="H878" s="34"/>
    </row>
    <row r="879">
      <c r="F879" s="34"/>
      <c r="G879" s="34"/>
      <c r="H879" s="34"/>
    </row>
    <row r="880">
      <c r="F880" s="34"/>
      <c r="G880" s="34"/>
      <c r="H880" s="34"/>
    </row>
    <row r="881">
      <c r="F881" s="34"/>
      <c r="G881" s="34"/>
      <c r="H881" s="34"/>
    </row>
    <row r="882">
      <c r="F882" s="34"/>
      <c r="G882" s="34"/>
      <c r="H882" s="34"/>
    </row>
    <row r="883">
      <c r="F883" s="34"/>
      <c r="G883" s="34"/>
      <c r="H883" s="34"/>
    </row>
    <row r="884">
      <c r="F884" s="34"/>
      <c r="G884" s="34"/>
      <c r="H884" s="34"/>
    </row>
    <row r="885">
      <c r="F885" s="34"/>
      <c r="G885" s="34"/>
      <c r="H885" s="34"/>
    </row>
    <row r="886">
      <c r="F886" s="34"/>
      <c r="G886" s="34"/>
      <c r="H886" s="34"/>
    </row>
    <row r="887">
      <c r="F887" s="34"/>
      <c r="G887" s="34"/>
      <c r="H887" s="34"/>
    </row>
    <row r="888">
      <c r="F888" s="34"/>
      <c r="G888" s="34"/>
      <c r="H888" s="34"/>
    </row>
    <row r="889">
      <c r="F889" s="34"/>
      <c r="G889" s="34"/>
      <c r="H889" s="34"/>
    </row>
    <row r="890">
      <c r="F890" s="34"/>
      <c r="G890" s="34"/>
      <c r="H890" s="34"/>
    </row>
    <row r="891">
      <c r="F891" s="34"/>
      <c r="G891" s="34"/>
      <c r="H891" s="34"/>
    </row>
    <row r="892">
      <c r="F892" s="34"/>
      <c r="G892" s="34"/>
      <c r="H892" s="34"/>
    </row>
    <row r="893">
      <c r="F893" s="34"/>
      <c r="G893" s="34"/>
      <c r="H893" s="34"/>
    </row>
    <row r="894">
      <c r="F894" s="34"/>
      <c r="G894" s="34"/>
      <c r="H894" s="34"/>
    </row>
    <row r="895">
      <c r="F895" s="34"/>
      <c r="G895" s="34"/>
      <c r="H895" s="34"/>
    </row>
    <row r="896">
      <c r="F896" s="34"/>
      <c r="G896" s="34"/>
      <c r="H896" s="34"/>
    </row>
    <row r="897">
      <c r="F897" s="34"/>
      <c r="G897" s="34"/>
      <c r="H897" s="34"/>
    </row>
    <row r="898">
      <c r="F898" s="34"/>
      <c r="G898" s="34"/>
      <c r="H898" s="34"/>
    </row>
    <row r="899">
      <c r="F899" s="34"/>
      <c r="G899" s="34"/>
      <c r="H899" s="34"/>
    </row>
    <row r="900">
      <c r="F900" s="34"/>
      <c r="G900" s="34"/>
      <c r="H900" s="34"/>
    </row>
    <row r="901">
      <c r="F901" s="34"/>
      <c r="G901" s="34"/>
      <c r="H901" s="34"/>
    </row>
    <row r="902">
      <c r="F902" s="34"/>
      <c r="G902" s="34"/>
      <c r="H902" s="34"/>
    </row>
    <row r="903">
      <c r="F903" s="34"/>
      <c r="G903" s="34"/>
      <c r="H903" s="34"/>
    </row>
    <row r="904">
      <c r="F904" s="34"/>
      <c r="G904" s="34"/>
      <c r="H904" s="34"/>
    </row>
    <row r="905">
      <c r="F905" s="34"/>
      <c r="G905" s="34"/>
      <c r="H905" s="34"/>
    </row>
    <row r="906">
      <c r="F906" s="34"/>
      <c r="G906" s="34"/>
      <c r="H906" s="34"/>
    </row>
    <row r="907">
      <c r="F907" s="34"/>
      <c r="G907" s="34"/>
      <c r="H907" s="34"/>
    </row>
    <row r="908">
      <c r="F908" s="34"/>
      <c r="G908" s="34"/>
      <c r="H908" s="34"/>
    </row>
    <row r="909">
      <c r="F909" s="34"/>
      <c r="G909" s="34"/>
      <c r="H909" s="34"/>
    </row>
    <row r="910">
      <c r="F910" s="34"/>
      <c r="G910" s="34"/>
      <c r="H910" s="34"/>
    </row>
    <row r="911">
      <c r="F911" s="34"/>
      <c r="G911" s="34"/>
      <c r="H911" s="34"/>
    </row>
    <row r="912">
      <c r="F912" s="34"/>
      <c r="G912" s="34"/>
      <c r="H912" s="34"/>
    </row>
    <row r="913">
      <c r="F913" s="34"/>
      <c r="G913" s="34"/>
      <c r="H913" s="34"/>
    </row>
    <row r="914">
      <c r="F914" s="34"/>
      <c r="G914" s="34"/>
      <c r="H914" s="34"/>
    </row>
    <row r="915">
      <c r="F915" s="34"/>
      <c r="G915" s="34"/>
      <c r="H915" s="34"/>
    </row>
    <row r="916">
      <c r="F916" s="34"/>
      <c r="G916" s="34"/>
      <c r="H916" s="34"/>
    </row>
    <row r="917">
      <c r="F917" s="34"/>
      <c r="G917" s="34"/>
      <c r="H917" s="34"/>
    </row>
    <row r="918">
      <c r="F918" s="34"/>
      <c r="G918" s="34"/>
      <c r="H918" s="34"/>
    </row>
    <row r="919">
      <c r="F919" s="34"/>
      <c r="G919" s="34"/>
      <c r="H919" s="34"/>
    </row>
    <row r="920">
      <c r="F920" s="34"/>
      <c r="G920" s="34"/>
      <c r="H920" s="34"/>
    </row>
    <row r="921">
      <c r="F921" s="34"/>
      <c r="G921" s="34"/>
      <c r="H921" s="34"/>
    </row>
    <row r="922">
      <c r="F922" s="34"/>
      <c r="G922" s="34"/>
      <c r="H922" s="34"/>
    </row>
    <row r="923">
      <c r="F923" s="34"/>
      <c r="G923" s="34"/>
      <c r="H923" s="34"/>
    </row>
    <row r="924">
      <c r="F924" s="34"/>
      <c r="G924" s="34"/>
      <c r="H924" s="34"/>
    </row>
    <row r="925">
      <c r="F925" s="34"/>
      <c r="G925" s="34"/>
      <c r="H925" s="34"/>
    </row>
    <row r="926">
      <c r="F926" s="34"/>
      <c r="G926" s="34"/>
      <c r="H926" s="34"/>
    </row>
    <row r="927">
      <c r="F927" s="34"/>
      <c r="G927" s="34"/>
      <c r="H927" s="34"/>
    </row>
    <row r="928">
      <c r="F928" s="34"/>
      <c r="G928" s="34"/>
      <c r="H928" s="34"/>
    </row>
    <row r="929">
      <c r="F929" s="34"/>
      <c r="G929" s="34"/>
      <c r="H929" s="34"/>
    </row>
    <row r="930">
      <c r="F930" s="34"/>
      <c r="G930" s="34"/>
      <c r="H930" s="34"/>
    </row>
    <row r="931">
      <c r="F931" s="34"/>
      <c r="G931" s="34"/>
      <c r="H931" s="34"/>
    </row>
    <row r="932">
      <c r="F932" s="34"/>
      <c r="G932" s="34"/>
      <c r="H932" s="34"/>
    </row>
    <row r="933">
      <c r="F933" s="34"/>
      <c r="G933" s="34"/>
      <c r="H933" s="34"/>
    </row>
    <row r="934">
      <c r="F934" s="34"/>
      <c r="G934" s="34"/>
      <c r="H934" s="34"/>
    </row>
    <row r="935">
      <c r="F935" s="34"/>
      <c r="G935" s="34"/>
      <c r="H935" s="34"/>
    </row>
    <row r="936">
      <c r="F936" s="34"/>
      <c r="G936" s="34"/>
      <c r="H936" s="34"/>
    </row>
    <row r="937">
      <c r="F937" s="34"/>
      <c r="G937" s="34"/>
      <c r="H937" s="34"/>
    </row>
    <row r="938">
      <c r="F938" s="34"/>
      <c r="G938" s="34"/>
      <c r="H938" s="34"/>
    </row>
    <row r="939">
      <c r="F939" s="34"/>
      <c r="G939" s="34"/>
      <c r="H939" s="34"/>
    </row>
    <row r="940">
      <c r="F940" s="34"/>
      <c r="G940" s="34"/>
      <c r="H940" s="34"/>
    </row>
    <row r="941">
      <c r="F941" s="34"/>
      <c r="G941" s="34"/>
      <c r="H941" s="34"/>
    </row>
    <row r="942">
      <c r="F942" s="34"/>
      <c r="G942" s="34"/>
      <c r="H942" s="34"/>
    </row>
    <row r="943">
      <c r="F943" s="34"/>
      <c r="G943" s="34"/>
      <c r="H943" s="34"/>
    </row>
    <row r="944">
      <c r="F944" s="34"/>
      <c r="G944" s="34"/>
      <c r="H944" s="34"/>
    </row>
    <row r="945">
      <c r="F945" s="34"/>
      <c r="G945" s="34"/>
      <c r="H945" s="34"/>
    </row>
    <row r="946">
      <c r="F946" s="34"/>
      <c r="G946" s="34"/>
      <c r="H946" s="34"/>
    </row>
    <row r="947">
      <c r="F947" s="34"/>
      <c r="G947" s="34"/>
      <c r="H947" s="34"/>
    </row>
    <row r="948">
      <c r="F948" s="34"/>
      <c r="G948" s="34"/>
      <c r="H948" s="34"/>
    </row>
    <row r="949">
      <c r="F949" s="34"/>
      <c r="G949" s="34"/>
      <c r="H949" s="34"/>
    </row>
    <row r="950">
      <c r="F950" s="34"/>
      <c r="G950" s="34"/>
      <c r="H950" s="34"/>
    </row>
    <row r="951">
      <c r="F951" s="34"/>
      <c r="G951" s="34"/>
      <c r="H951" s="34"/>
    </row>
    <row r="952">
      <c r="F952" s="34"/>
      <c r="G952" s="34"/>
      <c r="H952" s="34"/>
    </row>
    <row r="953">
      <c r="F953" s="34"/>
      <c r="G953" s="34"/>
      <c r="H953" s="34"/>
    </row>
    <row r="954">
      <c r="F954" s="34"/>
      <c r="G954" s="34"/>
      <c r="H954" s="34"/>
    </row>
    <row r="955">
      <c r="F955" s="34"/>
      <c r="G955" s="34"/>
      <c r="H955" s="34"/>
    </row>
    <row r="956">
      <c r="F956" s="34"/>
      <c r="G956" s="34"/>
      <c r="H956" s="34"/>
    </row>
    <row r="957">
      <c r="F957" s="34"/>
      <c r="G957" s="34"/>
      <c r="H957" s="34"/>
    </row>
    <row r="958">
      <c r="F958" s="34"/>
      <c r="G958" s="34"/>
      <c r="H958" s="34"/>
    </row>
    <row r="959">
      <c r="F959" s="34"/>
      <c r="G959" s="34"/>
      <c r="H959" s="34"/>
    </row>
    <row r="960">
      <c r="F960" s="34"/>
      <c r="G960" s="34"/>
      <c r="H960" s="34"/>
    </row>
    <row r="961">
      <c r="F961" s="34"/>
      <c r="G961" s="34"/>
      <c r="H961" s="34"/>
    </row>
    <row r="962">
      <c r="F962" s="34"/>
      <c r="G962" s="34"/>
      <c r="H962" s="34"/>
    </row>
    <row r="963">
      <c r="F963" s="34"/>
      <c r="G963" s="34"/>
      <c r="H963" s="34"/>
    </row>
    <row r="964">
      <c r="F964" s="34"/>
      <c r="G964" s="34"/>
      <c r="H964" s="34"/>
    </row>
    <row r="965">
      <c r="F965" s="34"/>
      <c r="G965" s="34"/>
      <c r="H965" s="34"/>
    </row>
    <row r="966">
      <c r="F966" s="34"/>
      <c r="G966" s="34"/>
      <c r="H966" s="34"/>
    </row>
    <row r="967">
      <c r="F967" s="34"/>
      <c r="G967" s="34"/>
      <c r="H967" s="34"/>
    </row>
    <row r="968">
      <c r="F968" s="34"/>
      <c r="G968" s="34"/>
      <c r="H968" s="34"/>
    </row>
    <row r="969">
      <c r="F969" s="34"/>
      <c r="G969" s="34"/>
      <c r="H969" s="34"/>
    </row>
    <row r="970">
      <c r="F970" s="34"/>
      <c r="G970" s="34"/>
      <c r="H970" s="34"/>
    </row>
    <row r="971">
      <c r="F971" s="34"/>
      <c r="G971" s="34"/>
      <c r="H971" s="34"/>
    </row>
    <row r="972">
      <c r="F972" s="34"/>
      <c r="G972" s="34"/>
      <c r="H972" s="34"/>
    </row>
    <row r="973">
      <c r="F973" s="34"/>
      <c r="G973" s="34"/>
      <c r="H973" s="34"/>
    </row>
    <row r="974">
      <c r="F974" s="34"/>
      <c r="G974" s="34"/>
      <c r="H974" s="34"/>
    </row>
    <row r="975">
      <c r="F975" s="34"/>
      <c r="G975" s="34"/>
      <c r="H975" s="34"/>
    </row>
    <row r="976">
      <c r="F976" s="34"/>
      <c r="G976" s="34"/>
      <c r="H976" s="34"/>
    </row>
    <row r="977">
      <c r="F977" s="34"/>
      <c r="G977" s="34"/>
      <c r="H977" s="34"/>
    </row>
    <row r="978">
      <c r="F978" s="34"/>
      <c r="G978" s="34"/>
      <c r="H978" s="34"/>
    </row>
    <row r="979">
      <c r="F979" s="34"/>
      <c r="G979" s="34"/>
      <c r="H979" s="34"/>
    </row>
    <row r="980">
      <c r="F980" s="34"/>
      <c r="G980" s="34"/>
      <c r="H980" s="34"/>
    </row>
    <row r="981">
      <c r="F981" s="34"/>
      <c r="G981" s="34"/>
      <c r="H981" s="34"/>
    </row>
    <row r="982">
      <c r="F982" s="34"/>
      <c r="G982" s="34"/>
      <c r="H982" s="34"/>
    </row>
    <row r="983">
      <c r="F983" s="34"/>
      <c r="G983" s="34"/>
      <c r="H983" s="34"/>
    </row>
    <row r="984">
      <c r="F984" s="34"/>
      <c r="G984" s="34"/>
      <c r="H984" s="34"/>
    </row>
    <row r="985">
      <c r="F985" s="34"/>
      <c r="G985" s="34"/>
      <c r="H985" s="34"/>
    </row>
    <row r="986">
      <c r="F986" s="34"/>
      <c r="G986" s="34"/>
      <c r="H986" s="34"/>
    </row>
    <row r="987">
      <c r="F987" s="34"/>
      <c r="G987" s="34"/>
      <c r="H987" s="34"/>
    </row>
    <row r="988">
      <c r="F988" s="34"/>
      <c r="G988" s="34"/>
      <c r="H988" s="34"/>
    </row>
    <row r="989">
      <c r="F989" s="34"/>
      <c r="G989" s="34"/>
      <c r="H989" s="34"/>
    </row>
    <row r="990">
      <c r="F990" s="34"/>
      <c r="G990" s="34"/>
      <c r="H990" s="34"/>
    </row>
    <row r="991">
      <c r="F991" s="34"/>
      <c r="G991" s="34"/>
      <c r="H991" s="34"/>
    </row>
    <row r="992">
      <c r="F992" s="34"/>
      <c r="G992" s="34"/>
      <c r="H992" s="34"/>
    </row>
    <row r="993">
      <c r="F993" s="34"/>
      <c r="G993" s="34"/>
      <c r="H993" s="34"/>
    </row>
    <row r="994">
      <c r="F994" s="34"/>
      <c r="G994" s="34"/>
      <c r="H994" s="34"/>
    </row>
    <row r="995">
      <c r="F995" s="34"/>
      <c r="G995" s="34"/>
      <c r="H995" s="34"/>
    </row>
    <row r="996">
      <c r="F996" s="34"/>
      <c r="G996" s="34"/>
      <c r="H996" s="34"/>
    </row>
    <row r="997">
      <c r="F997" s="34"/>
      <c r="G997" s="34"/>
      <c r="H997" s="34"/>
    </row>
    <row r="998">
      <c r="F998" s="34"/>
      <c r="G998" s="34"/>
      <c r="H998" s="34"/>
    </row>
    <row r="999">
      <c r="F999" s="34"/>
      <c r="G999" s="34"/>
      <c r="H999" s="34"/>
    </row>
    <row r="1000">
      <c r="F1000" s="34"/>
      <c r="G1000" s="34"/>
      <c r="H1000" s="34"/>
    </row>
    <row r="1001">
      <c r="F1001" s="34"/>
      <c r="G1001" s="34"/>
      <c r="H1001"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75"/>
    <col customWidth="1" min="2" max="2" width="18.13"/>
    <col customWidth="1" min="3" max="3" width="18.25"/>
    <col customWidth="1" min="4" max="5" width="21.88"/>
    <col customWidth="1" min="6" max="6" width="15.38"/>
    <col customWidth="1" min="7" max="7" width="22.88"/>
    <col customWidth="1" min="10" max="10" width="17.5"/>
    <col customWidth="1" min="11" max="11" width="16.0"/>
  </cols>
  <sheetData>
    <row r="1">
      <c r="A1" s="5">
        <v>4.0</v>
      </c>
      <c r="B1" s="6" t="s">
        <v>56</v>
      </c>
    </row>
    <row r="2">
      <c r="A2" s="7" t="s">
        <v>1</v>
      </c>
      <c r="B2" s="7" t="s">
        <v>150</v>
      </c>
      <c r="C2" s="7" t="s">
        <v>151</v>
      </c>
      <c r="D2" s="7" t="s">
        <v>152</v>
      </c>
      <c r="E2" s="7" t="s">
        <v>154</v>
      </c>
      <c r="F2" s="7" t="s">
        <v>155</v>
      </c>
      <c r="G2" s="7" t="s">
        <v>156</v>
      </c>
    </row>
    <row r="3">
      <c r="A3" s="7" t="s">
        <v>43</v>
      </c>
      <c r="B3" s="10">
        <v>1212076.06757531</v>
      </c>
      <c r="C3" s="10">
        <v>79.35545727871424</v>
      </c>
      <c r="D3" s="10">
        <v>99.56019792028992</v>
      </c>
      <c r="E3" s="10">
        <v>0.1769010855043478</v>
      </c>
      <c r="F3" s="10">
        <v>0.022379720830147058</v>
      </c>
      <c r="G3" s="10">
        <v>0.24084589125997594</v>
      </c>
    </row>
    <row r="4">
      <c r="A4" s="7" t="s">
        <v>126</v>
      </c>
      <c r="B4" s="10">
        <v>590425.162066</v>
      </c>
      <c r="C4" s="10">
        <v>36.04465337923077</v>
      </c>
      <c r="D4" s="10">
        <v>62.81937356230769</v>
      </c>
      <c r="E4" s="10">
        <v>16.548388209046156</v>
      </c>
      <c r="F4" s="10">
        <v>5.4213073930807685</v>
      </c>
      <c r="G4" s="10">
        <v>15.210930834661536</v>
      </c>
    </row>
    <row r="5">
      <c r="A5" s="7" t="s">
        <v>89</v>
      </c>
      <c r="B5" s="10">
        <v>3399310.2309557</v>
      </c>
      <c r="C5" s="10">
        <v>48.78990351249999</v>
      </c>
      <c r="D5" s="10">
        <v>82.21049288115385</v>
      </c>
      <c r="E5" s="10">
        <v>5.5981365520692306</v>
      </c>
      <c r="F5" s="10">
        <v>5.842464486210587</v>
      </c>
      <c r="G5" s="10">
        <v>7.838681233974807</v>
      </c>
    </row>
    <row r="6">
      <c r="A6" s="7" t="s">
        <v>25</v>
      </c>
      <c r="B6" s="10">
        <v>37264.340285112004</v>
      </c>
      <c r="C6" s="10">
        <v>61.460499644437505</v>
      </c>
      <c r="D6" s="10">
        <v>97.18146620249999</v>
      </c>
      <c r="E6" s="10">
        <v>0.14821981431875</v>
      </c>
      <c r="F6" s="10">
        <v>0.32387942607142856</v>
      </c>
      <c r="G6" s="10">
        <v>2.38691948504375</v>
      </c>
    </row>
    <row r="7">
      <c r="A7" s="7" t="s">
        <v>79</v>
      </c>
      <c r="B7" s="10">
        <v>2547619.30686911</v>
      </c>
      <c r="C7" s="10">
        <v>64.90565597285713</v>
      </c>
      <c r="D7" s="10">
        <v>94.82247058291665</v>
      </c>
      <c r="E7" s="10">
        <v>1.3247727832166458</v>
      </c>
      <c r="F7" s="10">
        <v>2.7320683527725906</v>
      </c>
      <c r="G7" s="10">
        <v>1.4825732725410503</v>
      </c>
    </row>
    <row r="8">
      <c r="A8" s="7" t="s">
        <v>166</v>
      </c>
      <c r="B8" s="10">
        <v>7786695.107751231</v>
      </c>
      <c r="C8" s="10">
        <v>61.93832449296243</v>
      </c>
      <c r="D8" s="10">
        <v>89.49898126142183</v>
      </c>
      <c r="E8" s="10">
        <v>3.7892321311189527</v>
      </c>
      <c r="F8" s="10">
        <v>2.7841715345826796</v>
      </c>
      <c r="G8" s="10">
        <v>4.4031669251540215</v>
      </c>
    </row>
  </sheetData>
  <drawing r:id="rId3"/>
</worksheet>
</file>