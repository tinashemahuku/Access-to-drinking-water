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C\Desktop\"/>
    </mc:Choice>
  </mc:AlternateContent>
  <xr:revisionPtr revIDLastSave="0" documentId="13_ncr:1_{BEB35502-EDCD-4592-AA81-BB1B00275DCD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Overview" sheetId="1" r:id="rId1"/>
    <sheet name="Estimates of the use of water (" sheetId="2" r:id="rId2"/>
    <sheet name="Summary Sheet" sheetId="3" r:id="rId3"/>
    <sheet name="Regions" sheetId="4" r:id="rId4"/>
  </sheets>
  <definedNames>
    <definedName name="_xlnm._FilterDatabase" localSheetId="3" hidden="1">Regions!$B$2:$B$1001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3" l="1"/>
  <c r="W4" i="3"/>
  <c r="X4" i="3"/>
  <c r="Y4" i="3"/>
  <c r="V5" i="3"/>
  <c r="W5" i="3"/>
  <c r="X5" i="3"/>
  <c r="Y5" i="3"/>
  <c r="V6" i="3"/>
  <c r="W6" i="3"/>
  <c r="X6" i="3"/>
  <c r="Y6" i="3"/>
  <c r="V7" i="3"/>
  <c r="W7" i="3"/>
  <c r="X7" i="3"/>
  <c r="Y7" i="3"/>
  <c r="V8" i="3"/>
  <c r="W8" i="3"/>
  <c r="X8" i="3"/>
  <c r="Y8" i="3"/>
  <c r="V9" i="3"/>
  <c r="W9" i="3"/>
  <c r="X9" i="3"/>
  <c r="Y9" i="3"/>
  <c r="V10" i="3"/>
  <c r="W10" i="3"/>
  <c r="X10" i="3"/>
  <c r="Y10" i="3"/>
  <c r="N14" i="3"/>
  <c r="N15" i="3"/>
  <c r="N16" i="3"/>
  <c r="N17" i="3"/>
  <c r="N18" i="3"/>
  <c r="N19" i="3"/>
  <c r="N20" i="3"/>
  <c r="N21" i="3"/>
  <c r="N22" i="3"/>
  <c r="N23" i="3"/>
  <c r="N24" i="3"/>
  <c r="N25" i="3"/>
  <c r="P6" i="3"/>
  <c r="P5" i="3"/>
  <c r="P4" i="3"/>
  <c r="B27" i="3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AB3" i="2"/>
  <c r="AB5" i="2"/>
  <c r="AB7" i="2"/>
  <c r="AB9" i="2"/>
  <c r="AB11" i="2"/>
  <c r="AB13" i="2"/>
  <c r="AB15" i="2"/>
  <c r="AB17" i="2"/>
  <c r="AB19" i="2"/>
  <c r="AB21" i="2"/>
  <c r="AB23" i="2"/>
  <c r="AB25" i="2"/>
  <c r="AB27" i="2"/>
  <c r="AB29" i="2"/>
  <c r="AB31" i="2"/>
  <c r="AB33" i="2"/>
  <c r="AB35" i="2"/>
  <c r="AB37" i="2"/>
  <c r="AB39" i="2"/>
  <c r="AB41" i="2"/>
  <c r="AB43" i="2"/>
  <c r="AB45" i="2"/>
  <c r="AB47" i="2"/>
  <c r="AB49" i="2"/>
  <c r="AB51" i="2"/>
  <c r="AB53" i="2"/>
  <c r="AB55" i="2"/>
  <c r="AB57" i="2"/>
  <c r="AB59" i="2"/>
  <c r="AB61" i="2"/>
  <c r="AB63" i="2"/>
  <c r="AB65" i="2"/>
  <c r="AB67" i="2"/>
  <c r="AB69" i="2"/>
  <c r="AB71" i="2"/>
  <c r="AB73" i="2"/>
  <c r="AB75" i="2"/>
  <c r="AB77" i="2"/>
  <c r="AB79" i="2"/>
  <c r="AB81" i="2"/>
  <c r="AB83" i="2"/>
  <c r="AB85" i="2"/>
  <c r="AB87" i="2"/>
  <c r="AB89" i="2"/>
  <c r="AB91" i="2"/>
  <c r="AB93" i="2"/>
  <c r="AB95" i="2"/>
  <c r="AB97" i="2"/>
  <c r="AB99" i="2"/>
  <c r="AB101" i="2"/>
  <c r="AB103" i="2"/>
  <c r="AB105" i="2"/>
  <c r="AB107" i="2"/>
  <c r="AB109" i="2"/>
  <c r="AB111" i="2"/>
  <c r="AB113" i="2"/>
  <c r="AB115" i="2"/>
  <c r="AB117" i="2"/>
  <c r="AB119" i="2"/>
  <c r="AB121" i="2"/>
  <c r="AB123" i="2"/>
  <c r="AB125" i="2"/>
  <c r="AB127" i="2"/>
  <c r="AB129" i="2"/>
  <c r="AB131" i="2"/>
  <c r="AB133" i="2"/>
  <c r="AB135" i="2"/>
  <c r="AB137" i="2"/>
  <c r="AB139" i="2"/>
  <c r="AB141" i="2"/>
  <c r="AB143" i="2"/>
  <c r="AB145" i="2"/>
  <c r="AB147" i="2"/>
  <c r="AB149" i="2"/>
  <c r="AB151" i="2"/>
  <c r="AB153" i="2"/>
  <c r="AB155" i="2"/>
  <c r="AB157" i="2"/>
  <c r="AB159" i="2"/>
  <c r="AB161" i="2"/>
  <c r="AB163" i="2"/>
  <c r="AB165" i="2"/>
  <c r="AB167" i="2"/>
  <c r="AB169" i="2"/>
  <c r="AB171" i="2"/>
  <c r="AB173" i="2"/>
  <c r="AB175" i="2"/>
  <c r="AB177" i="2"/>
  <c r="AB179" i="2"/>
  <c r="AB181" i="2"/>
  <c r="AB183" i="2"/>
  <c r="AB185" i="2"/>
  <c r="AB187" i="2"/>
  <c r="AB189" i="2"/>
  <c r="AB191" i="2"/>
  <c r="AB193" i="2"/>
  <c r="AB195" i="2"/>
  <c r="AB197" i="2"/>
  <c r="AB199" i="2"/>
  <c r="AB201" i="2"/>
  <c r="AB203" i="2"/>
  <c r="AB205" i="2"/>
  <c r="AB207" i="2"/>
  <c r="AB209" i="2"/>
  <c r="AB211" i="2"/>
  <c r="AB213" i="2"/>
  <c r="AB215" i="2"/>
  <c r="AB217" i="2"/>
  <c r="AB219" i="2"/>
  <c r="AB221" i="2"/>
  <c r="AB223" i="2"/>
  <c r="AB225" i="2"/>
  <c r="AB227" i="2"/>
  <c r="AB229" i="2"/>
  <c r="AB231" i="2"/>
  <c r="AB233" i="2"/>
  <c r="AB235" i="2"/>
  <c r="AB237" i="2"/>
  <c r="AB239" i="2"/>
  <c r="AB241" i="2"/>
  <c r="AB243" i="2"/>
  <c r="AB245" i="2"/>
  <c r="AB247" i="2"/>
  <c r="AB249" i="2"/>
  <c r="AB251" i="2"/>
  <c r="AB253" i="2"/>
  <c r="AB255" i="2"/>
  <c r="AB257" i="2"/>
  <c r="AB259" i="2"/>
  <c r="AB261" i="2"/>
  <c r="AB263" i="2"/>
  <c r="AB265" i="2"/>
  <c r="AB267" i="2"/>
  <c r="AB269" i="2"/>
  <c r="AB271" i="2"/>
  <c r="AB273" i="2"/>
  <c r="AB275" i="2"/>
  <c r="AB277" i="2"/>
  <c r="AB279" i="2"/>
  <c r="AB281" i="2"/>
  <c r="AB283" i="2"/>
  <c r="AB285" i="2"/>
  <c r="AB287" i="2"/>
  <c r="AB289" i="2"/>
  <c r="AB291" i="2"/>
  <c r="AB293" i="2"/>
  <c r="AB295" i="2"/>
  <c r="AB297" i="2"/>
  <c r="AB299" i="2"/>
  <c r="AB301" i="2"/>
  <c r="AB303" i="2"/>
  <c r="AB305" i="2"/>
  <c r="AB307" i="2"/>
  <c r="AB309" i="2"/>
  <c r="AB311" i="2"/>
  <c r="AB313" i="2"/>
  <c r="AB315" i="2"/>
  <c r="AB317" i="2"/>
  <c r="AB319" i="2"/>
  <c r="AB321" i="2"/>
  <c r="AB323" i="2"/>
  <c r="AB325" i="2"/>
  <c r="AB327" i="2"/>
  <c r="AB329" i="2"/>
  <c r="AB331" i="2"/>
  <c r="AB333" i="2"/>
  <c r="AB335" i="2"/>
  <c r="AB337" i="2"/>
  <c r="AB339" i="2"/>
  <c r="AB341" i="2"/>
  <c r="AB343" i="2"/>
  <c r="AB345" i="2"/>
  <c r="AB347" i="2"/>
  <c r="AB349" i="2"/>
  <c r="AB351" i="2"/>
  <c r="AB353" i="2"/>
  <c r="AB355" i="2"/>
  <c r="AB357" i="2"/>
  <c r="AB359" i="2"/>
  <c r="AB361" i="2"/>
  <c r="AB363" i="2"/>
  <c r="AB365" i="2"/>
  <c r="AB367" i="2"/>
  <c r="AB369" i="2"/>
  <c r="AB371" i="2"/>
  <c r="AB373" i="2"/>
  <c r="AB375" i="2"/>
  <c r="AB377" i="2"/>
  <c r="AB379" i="2"/>
  <c r="AB381" i="2"/>
  <c r="AB383" i="2"/>
  <c r="AB385" i="2"/>
  <c r="AB387" i="2"/>
  <c r="AB389" i="2"/>
  <c r="AB391" i="2"/>
  <c r="AB393" i="2"/>
  <c r="AB395" i="2"/>
  <c r="AB397" i="2"/>
  <c r="AB399" i="2"/>
  <c r="AB401" i="2"/>
  <c r="AB403" i="2"/>
  <c r="AB405" i="2"/>
  <c r="AB407" i="2"/>
  <c r="AB409" i="2"/>
  <c r="AB411" i="2"/>
  <c r="AB413" i="2"/>
  <c r="AB415" i="2"/>
  <c r="AB417" i="2"/>
  <c r="AB419" i="2"/>
  <c r="AB421" i="2"/>
  <c r="AB423" i="2"/>
  <c r="AB425" i="2"/>
  <c r="AB427" i="2"/>
  <c r="AB429" i="2"/>
  <c r="AB431" i="2"/>
  <c r="AB433" i="2"/>
  <c r="AB435" i="2"/>
  <c r="AB437" i="2"/>
  <c r="AB439" i="2"/>
  <c r="AB441" i="2"/>
  <c r="AB443" i="2"/>
  <c r="AB445" i="2"/>
  <c r="AB447" i="2"/>
  <c r="AB449" i="2"/>
  <c r="AB451" i="2"/>
  <c r="AB453" i="2"/>
  <c r="AB455" i="2"/>
  <c r="AB457" i="2"/>
  <c r="AB459" i="2"/>
  <c r="AB461" i="2"/>
  <c r="AB463" i="2"/>
  <c r="W26" i="2"/>
  <c r="W58" i="2"/>
  <c r="W174" i="2"/>
  <c r="W214" i="2"/>
  <c r="W238" i="2"/>
  <c r="W270" i="2"/>
  <c r="W316" i="2"/>
  <c r="W387" i="2"/>
  <c r="W451" i="2"/>
  <c r="V2" i="2"/>
  <c r="W2" i="2" s="1"/>
  <c r="V3" i="2"/>
  <c r="W3" i="2" s="1"/>
  <c r="V4" i="2"/>
  <c r="V5" i="2"/>
  <c r="W5" i="2" s="1"/>
  <c r="V6" i="2"/>
  <c r="W6" i="2" s="1"/>
  <c r="V7" i="2"/>
  <c r="V8" i="2"/>
  <c r="W8" i="2" s="1"/>
  <c r="V9" i="2"/>
  <c r="V10" i="2"/>
  <c r="W10" i="2" s="1"/>
  <c r="V11" i="2"/>
  <c r="W11" i="2" s="1"/>
  <c r="V12" i="2"/>
  <c r="V13" i="2"/>
  <c r="W13" i="2" s="1"/>
  <c r="V14" i="2"/>
  <c r="W14" i="2" s="1"/>
  <c r="V15" i="2"/>
  <c r="V16" i="2"/>
  <c r="W16" i="2" s="1"/>
  <c r="V17" i="2"/>
  <c r="V18" i="2"/>
  <c r="W18" i="2" s="1"/>
  <c r="V19" i="2"/>
  <c r="W19" i="2" s="1"/>
  <c r="V20" i="2"/>
  <c r="V21" i="2"/>
  <c r="W21" i="2" s="1"/>
  <c r="V22" i="2"/>
  <c r="W22" i="2" s="1"/>
  <c r="V23" i="2"/>
  <c r="V24" i="2"/>
  <c r="W24" i="2" s="1"/>
  <c r="V25" i="2"/>
  <c r="V26" i="2"/>
  <c r="V27" i="2"/>
  <c r="W27" i="2" s="1"/>
  <c r="V28" i="2"/>
  <c r="V29" i="2"/>
  <c r="W29" i="2" s="1"/>
  <c r="V30" i="2"/>
  <c r="W30" i="2" s="1"/>
  <c r="V31" i="2"/>
  <c r="V32" i="2"/>
  <c r="W32" i="2" s="1"/>
  <c r="V33" i="2"/>
  <c r="V34" i="2"/>
  <c r="W34" i="2" s="1"/>
  <c r="V35" i="2"/>
  <c r="W35" i="2" s="1"/>
  <c r="V36" i="2"/>
  <c r="V37" i="2"/>
  <c r="W37" i="2" s="1"/>
  <c r="V38" i="2"/>
  <c r="W38" i="2" s="1"/>
  <c r="V39" i="2"/>
  <c r="V40" i="2"/>
  <c r="W40" i="2" s="1"/>
  <c r="V41" i="2"/>
  <c r="V42" i="2"/>
  <c r="W42" i="2" s="1"/>
  <c r="V43" i="2"/>
  <c r="W43" i="2" s="1"/>
  <c r="V44" i="2"/>
  <c r="V45" i="2"/>
  <c r="W45" i="2" s="1"/>
  <c r="V46" i="2"/>
  <c r="W46" i="2" s="1"/>
  <c r="V47" i="2"/>
  <c r="V48" i="2"/>
  <c r="W48" i="2" s="1"/>
  <c r="V49" i="2"/>
  <c r="V50" i="2"/>
  <c r="W50" i="2" s="1"/>
  <c r="V51" i="2"/>
  <c r="W51" i="2" s="1"/>
  <c r="V52" i="2"/>
  <c r="V53" i="2"/>
  <c r="W53" i="2" s="1"/>
  <c r="V54" i="2"/>
  <c r="W54" i="2" s="1"/>
  <c r="V55" i="2"/>
  <c r="V56" i="2"/>
  <c r="W56" i="2" s="1"/>
  <c r="V57" i="2"/>
  <c r="V58" i="2"/>
  <c r="V59" i="2"/>
  <c r="W59" i="2" s="1"/>
  <c r="V60" i="2"/>
  <c r="V61" i="2"/>
  <c r="W61" i="2" s="1"/>
  <c r="V62" i="2"/>
  <c r="W62" i="2" s="1"/>
  <c r="V63" i="2"/>
  <c r="V64" i="2"/>
  <c r="W64" i="2" s="1"/>
  <c r="V65" i="2"/>
  <c r="V66" i="2"/>
  <c r="W66" i="2" s="1"/>
  <c r="V67" i="2"/>
  <c r="W67" i="2" s="1"/>
  <c r="V68" i="2"/>
  <c r="V69" i="2"/>
  <c r="W69" i="2" s="1"/>
  <c r="V70" i="2"/>
  <c r="W70" i="2" s="1"/>
  <c r="V71" i="2"/>
  <c r="V72" i="2"/>
  <c r="W72" i="2" s="1"/>
  <c r="V73" i="2"/>
  <c r="V74" i="2"/>
  <c r="W74" i="2" s="1"/>
  <c r="V75" i="2"/>
  <c r="W75" i="2" s="1"/>
  <c r="V76" i="2"/>
  <c r="V77" i="2"/>
  <c r="W77" i="2" s="1"/>
  <c r="V78" i="2"/>
  <c r="W78" i="2" s="1"/>
  <c r="V79" i="2"/>
  <c r="V80" i="2"/>
  <c r="W80" i="2" s="1"/>
  <c r="V81" i="2"/>
  <c r="V82" i="2"/>
  <c r="W82" i="2" s="1"/>
  <c r="V83" i="2"/>
  <c r="W83" i="2" s="1"/>
  <c r="V84" i="2"/>
  <c r="V85" i="2"/>
  <c r="W85" i="2" s="1"/>
  <c r="V86" i="2"/>
  <c r="W86" i="2" s="1"/>
  <c r="V87" i="2"/>
  <c r="V88" i="2"/>
  <c r="W88" i="2" s="1"/>
  <c r="V89" i="2"/>
  <c r="V90" i="2"/>
  <c r="V91" i="2"/>
  <c r="W91" i="2" s="1"/>
  <c r="V92" i="2"/>
  <c r="V93" i="2"/>
  <c r="W93" i="2" s="1"/>
  <c r="V94" i="2"/>
  <c r="W94" i="2" s="1"/>
  <c r="V95" i="2"/>
  <c r="V96" i="2"/>
  <c r="W96" i="2" s="1"/>
  <c r="V97" i="2"/>
  <c r="V98" i="2"/>
  <c r="W98" i="2" s="1"/>
  <c r="V99" i="2"/>
  <c r="W99" i="2" s="1"/>
  <c r="V100" i="2"/>
  <c r="V101" i="2"/>
  <c r="W101" i="2" s="1"/>
  <c r="V102" i="2"/>
  <c r="W102" i="2" s="1"/>
  <c r="V103" i="2"/>
  <c r="V104" i="2"/>
  <c r="W104" i="2" s="1"/>
  <c r="V105" i="2"/>
  <c r="V106" i="2"/>
  <c r="W106" i="2" s="1"/>
  <c r="V107" i="2"/>
  <c r="W107" i="2" s="1"/>
  <c r="V108" i="2"/>
  <c r="V109" i="2"/>
  <c r="W109" i="2" s="1"/>
  <c r="V110" i="2"/>
  <c r="W110" i="2" s="1"/>
  <c r="V111" i="2"/>
  <c r="V112" i="2"/>
  <c r="W112" i="2" s="1"/>
  <c r="V113" i="2"/>
  <c r="V114" i="2"/>
  <c r="W114" i="2" s="1"/>
  <c r="V115" i="2"/>
  <c r="W115" i="2" s="1"/>
  <c r="V116" i="2"/>
  <c r="V117" i="2"/>
  <c r="W117" i="2" s="1"/>
  <c r="V118" i="2"/>
  <c r="W118" i="2" s="1"/>
  <c r="V119" i="2"/>
  <c r="V120" i="2"/>
  <c r="W120" i="2" s="1"/>
  <c r="V121" i="2"/>
  <c r="V122" i="2"/>
  <c r="V123" i="2"/>
  <c r="W123" i="2" s="1"/>
  <c r="V124" i="2"/>
  <c r="V125" i="2"/>
  <c r="W125" i="2" s="1"/>
  <c r="V126" i="2"/>
  <c r="W126" i="2" s="1"/>
  <c r="V127" i="2"/>
  <c r="V128" i="2"/>
  <c r="W128" i="2" s="1"/>
  <c r="V129" i="2"/>
  <c r="V130" i="2"/>
  <c r="V131" i="2"/>
  <c r="W131" i="2" s="1"/>
  <c r="V132" i="2"/>
  <c r="V133" i="2"/>
  <c r="W133" i="2" s="1"/>
  <c r="V134" i="2"/>
  <c r="W134" i="2" s="1"/>
  <c r="V135" i="2"/>
  <c r="V136" i="2"/>
  <c r="W136" i="2" s="1"/>
  <c r="V137" i="2"/>
  <c r="V138" i="2"/>
  <c r="V139" i="2"/>
  <c r="W139" i="2" s="1"/>
  <c r="V140" i="2"/>
  <c r="V141" i="2"/>
  <c r="W141" i="2" s="1"/>
  <c r="V142" i="2"/>
  <c r="W142" i="2" s="1"/>
  <c r="V143" i="2"/>
  <c r="V144" i="2"/>
  <c r="W144" i="2" s="1"/>
  <c r="V145" i="2"/>
  <c r="V146" i="2"/>
  <c r="V147" i="2"/>
  <c r="W147" i="2" s="1"/>
  <c r="V148" i="2"/>
  <c r="V149" i="2"/>
  <c r="W149" i="2" s="1"/>
  <c r="V150" i="2"/>
  <c r="W150" i="2" s="1"/>
  <c r="V151" i="2"/>
  <c r="V152" i="2"/>
  <c r="W152" i="2" s="1"/>
  <c r="V153" i="2"/>
  <c r="V154" i="2"/>
  <c r="V155" i="2"/>
  <c r="W155" i="2" s="1"/>
  <c r="V156" i="2"/>
  <c r="V157" i="2"/>
  <c r="W157" i="2" s="1"/>
  <c r="V158" i="2"/>
  <c r="W158" i="2" s="1"/>
  <c r="V159" i="2"/>
  <c r="V160" i="2"/>
  <c r="W160" i="2" s="1"/>
  <c r="V161" i="2"/>
  <c r="V162" i="2"/>
  <c r="V163" i="2"/>
  <c r="W163" i="2" s="1"/>
  <c r="V164" i="2"/>
  <c r="V165" i="2"/>
  <c r="W165" i="2" s="1"/>
  <c r="V166" i="2"/>
  <c r="W166" i="2" s="1"/>
  <c r="V167" i="2"/>
  <c r="V168" i="2"/>
  <c r="W168" i="2" s="1"/>
  <c r="V169" i="2"/>
  <c r="V170" i="2"/>
  <c r="V171" i="2"/>
  <c r="W171" i="2" s="1"/>
  <c r="V172" i="2"/>
  <c r="V173" i="2"/>
  <c r="W173" i="2" s="1"/>
  <c r="V174" i="2"/>
  <c r="V175" i="2"/>
  <c r="V176" i="2"/>
  <c r="W176" i="2" s="1"/>
  <c r="V177" i="2"/>
  <c r="V178" i="2"/>
  <c r="V179" i="2"/>
  <c r="W179" i="2" s="1"/>
  <c r="V180" i="2"/>
  <c r="V181" i="2"/>
  <c r="W181" i="2" s="1"/>
  <c r="V182" i="2"/>
  <c r="W182" i="2" s="1"/>
  <c r="V183" i="2"/>
  <c r="V184" i="2"/>
  <c r="W184" i="2" s="1"/>
  <c r="V185" i="2"/>
  <c r="V186" i="2"/>
  <c r="V187" i="2"/>
  <c r="W187" i="2" s="1"/>
  <c r="V188" i="2"/>
  <c r="V189" i="2"/>
  <c r="W189" i="2" s="1"/>
  <c r="V190" i="2"/>
  <c r="W190" i="2" s="1"/>
  <c r="V191" i="2"/>
  <c r="V192" i="2"/>
  <c r="W192" i="2" s="1"/>
  <c r="V193" i="2"/>
  <c r="V194" i="2"/>
  <c r="V195" i="2"/>
  <c r="W195" i="2" s="1"/>
  <c r="V196" i="2"/>
  <c r="V197" i="2"/>
  <c r="W197" i="2" s="1"/>
  <c r="V198" i="2"/>
  <c r="W198" i="2" s="1"/>
  <c r="V199" i="2"/>
  <c r="V200" i="2"/>
  <c r="W200" i="2" s="1"/>
  <c r="V201" i="2"/>
  <c r="V202" i="2"/>
  <c r="V203" i="2"/>
  <c r="W203" i="2" s="1"/>
  <c r="V204" i="2"/>
  <c r="V205" i="2"/>
  <c r="W205" i="2" s="1"/>
  <c r="V206" i="2"/>
  <c r="W206" i="2" s="1"/>
  <c r="V207" i="2"/>
  <c r="V208" i="2"/>
  <c r="W208" i="2" s="1"/>
  <c r="V209" i="2"/>
  <c r="V210" i="2"/>
  <c r="V211" i="2"/>
  <c r="W211" i="2" s="1"/>
  <c r="V212" i="2"/>
  <c r="V213" i="2"/>
  <c r="W213" i="2" s="1"/>
  <c r="V214" i="2"/>
  <c r="V215" i="2"/>
  <c r="V216" i="2"/>
  <c r="W216" i="2" s="1"/>
  <c r="V217" i="2"/>
  <c r="V218" i="2"/>
  <c r="V219" i="2"/>
  <c r="W219" i="2" s="1"/>
  <c r="V220" i="2"/>
  <c r="V221" i="2"/>
  <c r="W221" i="2" s="1"/>
  <c r="V222" i="2"/>
  <c r="W222" i="2" s="1"/>
  <c r="V223" i="2"/>
  <c r="V224" i="2"/>
  <c r="W224" i="2" s="1"/>
  <c r="V225" i="2"/>
  <c r="V226" i="2"/>
  <c r="V227" i="2"/>
  <c r="W227" i="2" s="1"/>
  <c r="V228" i="2"/>
  <c r="V229" i="2"/>
  <c r="W229" i="2" s="1"/>
  <c r="V230" i="2"/>
  <c r="W230" i="2" s="1"/>
  <c r="V231" i="2"/>
  <c r="V232" i="2"/>
  <c r="W232" i="2" s="1"/>
  <c r="V233" i="2"/>
  <c r="V234" i="2"/>
  <c r="V235" i="2"/>
  <c r="W235" i="2" s="1"/>
  <c r="V236" i="2"/>
  <c r="V237" i="2"/>
  <c r="W237" i="2" s="1"/>
  <c r="V238" i="2"/>
  <c r="V239" i="2"/>
  <c r="V240" i="2"/>
  <c r="W240" i="2" s="1"/>
  <c r="V241" i="2"/>
  <c r="V242" i="2"/>
  <c r="V243" i="2"/>
  <c r="W243" i="2" s="1"/>
  <c r="V244" i="2"/>
  <c r="V245" i="2"/>
  <c r="W245" i="2" s="1"/>
  <c r="V246" i="2"/>
  <c r="W246" i="2" s="1"/>
  <c r="V247" i="2"/>
  <c r="V248" i="2"/>
  <c r="W248" i="2" s="1"/>
  <c r="V249" i="2"/>
  <c r="V250" i="2"/>
  <c r="V251" i="2"/>
  <c r="W251" i="2" s="1"/>
  <c r="V252" i="2"/>
  <c r="V253" i="2"/>
  <c r="W253" i="2" s="1"/>
  <c r="V254" i="2"/>
  <c r="W254" i="2" s="1"/>
  <c r="V255" i="2"/>
  <c r="V256" i="2"/>
  <c r="W256" i="2" s="1"/>
  <c r="V257" i="2"/>
  <c r="V258" i="2"/>
  <c r="V259" i="2"/>
  <c r="W259" i="2" s="1"/>
  <c r="V260" i="2"/>
  <c r="V261" i="2"/>
  <c r="W261" i="2" s="1"/>
  <c r="V262" i="2"/>
  <c r="W262" i="2" s="1"/>
  <c r="V263" i="2"/>
  <c r="V264" i="2"/>
  <c r="W264" i="2" s="1"/>
  <c r="V265" i="2"/>
  <c r="V266" i="2"/>
  <c r="V267" i="2"/>
  <c r="W267" i="2" s="1"/>
  <c r="V268" i="2"/>
  <c r="V269" i="2"/>
  <c r="W269" i="2" s="1"/>
  <c r="V270" i="2"/>
  <c r="V271" i="2"/>
  <c r="V272" i="2"/>
  <c r="W272" i="2" s="1"/>
  <c r="V273" i="2"/>
  <c r="V274" i="2"/>
  <c r="V275" i="2"/>
  <c r="W275" i="2" s="1"/>
  <c r="V276" i="2"/>
  <c r="V277" i="2"/>
  <c r="W277" i="2" s="1"/>
  <c r="V278" i="2"/>
  <c r="W278" i="2" s="1"/>
  <c r="V279" i="2"/>
  <c r="V280" i="2"/>
  <c r="V281" i="2"/>
  <c r="V282" i="2"/>
  <c r="V283" i="2"/>
  <c r="W283" i="2" s="1"/>
  <c r="V284" i="2"/>
  <c r="V285" i="2"/>
  <c r="W285" i="2" s="1"/>
  <c r="V286" i="2"/>
  <c r="W286" i="2" s="1"/>
  <c r="V287" i="2"/>
  <c r="V288" i="2"/>
  <c r="W288" i="2" s="1"/>
  <c r="V289" i="2"/>
  <c r="V290" i="2"/>
  <c r="V291" i="2"/>
  <c r="W291" i="2" s="1"/>
  <c r="V292" i="2"/>
  <c r="V293" i="2"/>
  <c r="W293" i="2" s="1"/>
  <c r="V294" i="2"/>
  <c r="W294" i="2" s="1"/>
  <c r="V295" i="2"/>
  <c r="V296" i="2"/>
  <c r="W296" i="2" s="1"/>
  <c r="V297" i="2"/>
  <c r="V298" i="2"/>
  <c r="V299" i="2"/>
  <c r="W299" i="2" s="1"/>
  <c r="V300" i="2"/>
  <c r="V301" i="2"/>
  <c r="W301" i="2" s="1"/>
  <c r="V302" i="2"/>
  <c r="W302" i="2" s="1"/>
  <c r="V303" i="2"/>
  <c r="V304" i="2"/>
  <c r="W304" i="2" s="1"/>
  <c r="V305" i="2"/>
  <c r="V306" i="2"/>
  <c r="V307" i="2"/>
  <c r="W307" i="2" s="1"/>
  <c r="V308" i="2"/>
  <c r="V309" i="2"/>
  <c r="W309" i="2" s="1"/>
  <c r="V310" i="2"/>
  <c r="W310" i="2" s="1"/>
  <c r="V311" i="2"/>
  <c r="V312" i="2"/>
  <c r="W312" i="2" s="1"/>
  <c r="V313" i="2"/>
  <c r="V314" i="2"/>
  <c r="V315" i="2"/>
  <c r="W315" i="2" s="1"/>
  <c r="V316" i="2"/>
  <c r="V317" i="2"/>
  <c r="W317" i="2" s="1"/>
  <c r="V318" i="2"/>
  <c r="W318" i="2" s="1"/>
  <c r="V319" i="2"/>
  <c r="V320" i="2"/>
  <c r="W320" i="2" s="1"/>
  <c r="V321" i="2"/>
  <c r="V322" i="2"/>
  <c r="V323" i="2"/>
  <c r="W323" i="2" s="1"/>
  <c r="V324" i="2"/>
  <c r="V325" i="2"/>
  <c r="W325" i="2" s="1"/>
  <c r="V326" i="2"/>
  <c r="W326" i="2" s="1"/>
  <c r="V327" i="2"/>
  <c r="V328" i="2"/>
  <c r="W328" i="2" s="1"/>
  <c r="V329" i="2"/>
  <c r="V330" i="2"/>
  <c r="V331" i="2"/>
  <c r="W331" i="2" s="1"/>
  <c r="V332" i="2"/>
  <c r="V333" i="2"/>
  <c r="W333" i="2" s="1"/>
  <c r="V334" i="2"/>
  <c r="W334" i="2" s="1"/>
  <c r="V335" i="2"/>
  <c r="V336" i="2"/>
  <c r="W336" i="2" s="1"/>
  <c r="V337" i="2"/>
  <c r="V338" i="2"/>
  <c r="V339" i="2"/>
  <c r="W339" i="2" s="1"/>
  <c r="V340" i="2"/>
  <c r="V341" i="2"/>
  <c r="W341" i="2" s="1"/>
  <c r="V342" i="2"/>
  <c r="W342" i="2" s="1"/>
  <c r="V343" i="2"/>
  <c r="V344" i="2"/>
  <c r="W344" i="2" s="1"/>
  <c r="V345" i="2"/>
  <c r="V346" i="2"/>
  <c r="V347" i="2"/>
  <c r="W347" i="2" s="1"/>
  <c r="V348" i="2"/>
  <c r="V349" i="2"/>
  <c r="W349" i="2" s="1"/>
  <c r="V350" i="2"/>
  <c r="W350" i="2" s="1"/>
  <c r="V351" i="2"/>
  <c r="V352" i="2"/>
  <c r="W352" i="2" s="1"/>
  <c r="V353" i="2"/>
  <c r="V354" i="2"/>
  <c r="V355" i="2"/>
  <c r="W355" i="2" s="1"/>
  <c r="V356" i="2"/>
  <c r="V357" i="2"/>
  <c r="W357" i="2" s="1"/>
  <c r="V358" i="2"/>
  <c r="W358" i="2" s="1"/>
  <c r="V359" i="2"/>
  <c r="V360" i="2"/>
  <c r="W360" i="2" s="1"/>
  <c r="V361" i="2"/>
  <c r="V362" i="2"/>
  <c r="W362" i="2" s="1"/>
  <c r="V363" i="2"/>
  <c r="W363" i="2" s="1"/>
  <c r="V364" i="2"/>
  <c r="V365" i="2"/>
  <c r="W365" i="2" s="1"/>
  <c r="V366" i="2"/>
  <c r="W366" i="2" s="1"/>
  <c r="V367" i="2"/>
  <c r="V368" i="2"/>
  <c r="W368" i="2" s="1"/>
  <c r="V369" i="2"/>
  <c r="V370" i="2"/>
  <c r="V371" i="2"/>
  <c r="W371" i="2" s="1"/>
  <c r="V372" i="2"/>
  <c r="V373" i="2"/>
  <c r="W373" i="2" s="1"/>
  <c r="V374" i="2"/>
  <c r="W374" i="2" s="1"/>
  <c r="V375" i="2"/>
  <c r="V376" i="2"/>
  <c r="W376" i="2" s="1"/>
  <c r="V377" i="2"/>
  <c r="V378" i="2"/>
  <c r="V379" i="2"/>
  <c r="W379" i="2" s="1"/>
  <c r="V380" i="2"/>
  <c r="V381" i="2"/>
  <c r="W381" i="2" s="1"/>
  <c r="V382" i="2"/>
  <c r="W382" i="2" s="1"/>
  <c r="V383" i="2"/>
  <c r="V384" i="2"/>
  <c r="W384" i="2" s="1"/>
  <c r="V385" i="2"/>
  <c r="V386" i="2"/>
  <c r="V387" i="2"/>
  <c r="V388" i="2"/>
  <c r="V389" i="2"/>
  <c r="W389" i="2" s="1"/>
  <c r="V390" i="2"/>
  <c r="W390" i="2" s="1"/>
  <c r="V391" i="2"/>
  <c r="V392" i="2"/>
  <c r="W392" i="2" s="1"/>
  <c r="V393" i="2"/>
  <c r="V394" i="2"/>
  <c r="V395" i="2"/>
  <c r="W395" i="2" s="1"/>
  <c r="V396" i="2"/>
  <c r="V397" i="2"/>
  <c r="W397" i="2" s="1"/>
  <c r="V398" i="2"/>
  <c r="W398" i="2" s="1"/>
  <c r="V399" i="2"/>
  <c r="V400" i="2"/>
  <c r="W400" i="2" s="1"/>
  <c r="V401" i="2"/>
  <c r="V402" i="2"/>
  <c r="V403" i="2"/>
  <c r="W403" i="2" s="1"/>
  <c r="V404" i="2"/>
  <c r="V405" i="2"/>
  <c r="W405" i="2" s="1"/>
  <c r="V406" i="2"/>
  <c r="W406" i="2" s="1"/>
  <c r="V407" i="2"/>
  <c r="V408" i="2"/>
  <c r="W408" i="2" s="1"/>
  <c r="V409" i="2"/>
  <c r="V410" i="2"/>
  <c r="V411" i="2"/>
  <c r="W411" i="2" s="1"/>
  <c r="V412" i="2"/>
  <c r="V413" i="2"/>
  <c r="W413" i="2" s="1"/>
  <c r="V414" i="2"/>
  <c r="W414" i="2" s="1"/>
  <c r="V415" i="2"/>
  <c r="V416" i="2"/>
  <c r="W416" i="2" s="1"/>
  <c r="V417" i="2"/>
  <c r="V418" i="2"/>
  <c r="V419" i="2"/>
  <c r="W419" i="2" s="1"/>
  <c r="V420" i="2"/>
  <c r="V421" i="2"/>
  <c r="W421" i="2" s="1"/>
  <c r="V422" i="2"/>
  <c r="W422" i="2" s="1"/>
  <c r="V423" i="2"/>
  <c r="V424" i="2"/>
  <c r="W424" i="2" s="1"/>
  <c r="V425" i="2"/>
  <c r="V426" i="2"/>
  <c r="V427" i="2"/>
  <c r="W427" i="2" s="1"/>
  <c r="V428" i="2"/>
  <c r="V429" i="2"/>
  <c r="W429" i="2" s="1"/>
  <c r="V430" i="2"/>
  <c r="W430" i="2" s="1"/>
  <c r="V431" i="2"/>
  <c r="V432" i="2"/>
  <c r="W432" i="2" s="1"/>
  <c r="V433" i="2"/>
  <c r="V434" i="2"/>
  <c r="V435" i="2"/>
  <c r="W435" i="2" s="1"/>
  <c r="V436" i="2"/>
  <c r="V437" i="2"/>
  <c r="W437" i="2" s="1"/>
  <c r="V438" i="2"/>
  <c r="W438" i="2" s="1"/>
  <c r="V439" i="2"/>
  <c r="V440" i="2"/>
  <c r="W440" i="2" s="1"/>
  <c r="V441" i="2"/>
  <c r="V442" i="2"/>
  <c r="V443" i="2"/>
  <c r="W443" i="2" s="1"/>
  <c r="V444" i="2"/>
  <c r="V445" i="2"/>
  <c r="W445" i="2" s="1"/>
  <c r="V446" i="2"/>
  <c r="W446" i="2" s="1"/>
  <c r="V447" i="2"/>
  <c r="V448" i="2"/>
  <c r="W448" i="2" s="1"/>
  <c r="V449" i="2"/>
  <c r="V450" i="2"/>
  <c r="V451" i="2"/>
  <c r="V452" i="2"/>
  <c r="V453" i="2"/>
  <c r="W453" i="2" s="1"/>
  <c r="V454" i="2"/>
  <c r="W454" i="2" s="1"/>
  <c r="V455" i="2"/>
  <c r="V456" i="2"/>
  <c r="W456" i="2" s="1"/>
  <c r="V457" i="2"/>
  <c r="V458" i="2"/>
  <c r="V459" i="2"/>
  <c r="W459" i="2" s="1"/>
  <c r="V460" i="2"/>
  <c r="V461" i="2"/>
  <c r="W461" i="2" s="1"/>
  <c r="V462" i="2"/>
  <c r="W462" i="2" s="1"/>
  <c r="V463" i="2"/>
  <c r="W463" i="2" s="1"/>
  <c r="P9" i="2"/>
  <c r="P31" i="2"/>
  <c r="P41" i="2"/>
  <c r="P63" i="2"/>
  <c r="P73" i="2"/>
  <c r="P84" i="2"/>
  <c r="P95" i="2"/>
  <c r="P105" i="2"/>
  <c r="P127" i="2"/>
  <c r="P137" i="2"/>
  <c r="P147" i="2"/>
  <c r="P166" i="2"/>
  <c r="P175" i="2"/>
  <c r="P184" i="2"/>
  <c r="P193" i="2"/>
  <c r="P202" i="2"/>
  <c r="P211" i="2"/>
  <c r="P230" i="2"/>
  <c r="P239" i="2"/>
  <c r="P248" i="2"/>
  <c r="P257" i="2"/>
  <c r="P266" i="2"/>
  <c r="P275" i="2"/>
  <c r="P294" i="2"/>
  <c r="P321" i="2"/>
  <c r="P330" i="2"/>
  <c r="P339" i="2"/>
  <c r="P385" i="2"/>
  <c r="P394" i="2"/>
  <c r="P403" i="2"/>
  <c r="P449" i="2"/>
  <c r="P458" i="2"/>
  <c r="O2" i="2"/>
  <c r="P2" i="2" s="1"/>
  <c r="O3" i="2"/>
  <c r="O4" i="2"/>
  <c r="P4" i="2" s="1"/>
  <c r="O5" i="2"/>
  <c r="P5" i="2" s="1"/>
  <c r="O6" i="2"/>
  <c r="P6" i="2" s="1"/>
  <c r="O7" i="2"/>
  <c r="O8" i="2"/>
  <c r="P7" i="2" s="1"/>
  <c r="O9" i="2"/>
  <c r="O10" i="2"/>
  <c r="P10" i="2" s="1"/>
  <c r="O11" i="2"/>
  <c r="O12" i="2"/>
  <c r="O13" i="2"/>
  <c r="P13" i="2" s="1"/>
  <c r="O14" i="2"/>
  <c r="P14" i="2" s="1"/>
  <c r="O15" i="2"/>
  <c r="O16" i="2"/>
  <c r="P15" i="2" s="1"/>
  <c r="O17" i="2"/>
  <c r="P17" i="2" s="1"/>
  <c r="O18" i="2"/>
  <c r="P18" i="2" s="1"/>
  <c r="O19" i="2"/>
  <c r="O20" i="2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O28" i="2"/>
  <c r="O29" i="2"/>
  <c r="P29" i="2" s="1"/>
  <c r="O30" i="2"/>
  <c r="P30" i="2" s="1"/>
  <c r="O31" i="2"/>
  <c r="O32" i="2"/>
  <c r="P32" i="2" s="1"/>
  <c r="O33" i="2"/>
  <c r="P33" i="2" s="1"/>
  <c r="O34" i="2"/>
  <c r="P34" i="2" s="1"/>
  <c r="O35" i="2"/>
  <c r="O36" i="2"/>
  <c r="O37" i="2"/>
  <c r="P37" i="2" s="1"/>
  <c r="O38" i="2"/>
  <c r="P38" i="2" s="1"/>
  <c r="O39" i="2"/>
  <c r="P39" i="2" s="1"/>
  <c r="O40" i="2"/>
  <c r="P40" i="2" s="1"/>
  <c r="O41" i="2"/>
  <c r="O42" i="2"/>
  <c r="P42" i="2" s="1"/>
  <c r="O43" i="2"/>
  <c r="O44" i="2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O52" i="2"/>
  <c r="O53" i="2"/>
  <c r="P53" i="2" s="1"/>
  <c r="O54" i="2"/>
  <c r="P54" i="2" s="1"/>
  <c r="O55" i="2"/>
  <c r="P55" i="2" s="1"/>
  <c r="O56" i="2"/>
  <c r="P56" i="2" s="1"/>
  <c r="O57" i="2"/>
  <c r="P57" i="2" s="1"/>
  <c r="O58" i="2"/>
  <c r="P58" i="2" s="1"/>
  <c r="O59" i="2"/>
  <c r="O60" i="2"/>
  <c r="O61" i="2"/>
  <c r="P61" i="2" s="1"/>
  <c r="O62" i="2"/>
  <c r="P62" i="2" s="1"/>
  <c r="O63" i="2"/>
  <c r="O64" i="2"/>
  <c r="P64" i="2" s="1"/>
  <c r="O65" i="2"/>
  <c r="P65" i="2" s="1"/>
  <c r="O66" i="2"/>
  <c r="P66" i="2" s="1"/>
  <c r="O67" i="2"/>
  <c r="O68" i="2"/>
  <c r="O69" i="2"/>
  <c r="P69" i="2" s="1"/>
  <c r="O70" i="2"/>
  <c r="P70" i="2" s="1"/>
  <c r="O71" i="2"/>
  <c r="P71" i="2" s="1"/>
  <c r="O72" i="2"/>
  <c r="P72" i="2" s="1"/>
  <c r="O73" i="2"/>
  <c r="O74" i="2"/>
  <c r="P74" i="2" s="1"/>
  <c r="O75" i="2"/>
  <c r="O76" i="2"/>
  <c r="O77" i="2"/>
  <c r="P77" i="2" s="1"/>
  <c r="O78" i="2"/>
  <c r="P78" i="2" s="1"/>
  <c r="O79" i="2"/>
  <c r="P79" i="2" s="1"/>
  <c r="O80" i="2"/>
  <c r="P80" i="2" s="1"/>
  <c r="O81" i="2"/>
  <c r="P81" i="2" s="1"/>
  <c r="O82" i="2"/>
  <c r="P82" i="2" s="1"/>
  <c r="O83" i="2"/>
  <c r="O84" i="2"/>
  <c r="O85" i="2"/>
  <c r="P85" i="2" s="1"/>
  <c r="O86" i="2"/>
  <c r="P86" i="2" s="1"/>
  <c r="O87" i="2"/>
  <c r="P87" i="2" s="1"/>
  <c r="O88" i="2"/>
  <c r="P88" i="2" s="1"/>
  <c r="O89" i="2"/>
  <c r="P89" i="2" s="1"/>
  <c r="O90" i="2"/>
  <c r="P90" i="2" s="1"/>
  <c r="O91" i="2"/>
  <c r="O92" i="2"/>
  <c r="O93" i="2"/>
  <c r="P93" i="2" s="1"/>
  <c r="O94" i="2"/>
  <c r="P94" i="2" s="1"/>
  <c r="O95" i="2"/>
  <c r="O96" i="2"/>
  <c r="P96" i="2" s="1"/>
  <c r="O97" i="2"/>
  <c r="P97" i="2" s="1"/>
  <c r="O98" i="2"/>
  <c r="P98" i="2" s="1"/>
  <c r="O99" i="2"/>
  <c r="P99" i="2" s="1"/>
  <c r="O100" i="2"/>
  <c r="O101" i="2"/>
  <c r="P101" i="2" s="1"/>
  <c r="O102" i="2"/>
  <c r="P102" i="2" s="1"/>
  <c r="O103" i="2"/>
  <c r="P103" i="2" s="1"/>
  <c r="O104" i="2"/>
  <c r="P104" i="2" s="1"/>
  <c r="O105" i="2"/>
  <c r="O106" i="2"/>
  <c r="P106" i="2" s="1"/>
  <c r="O107" i="2"/>
  <c r="P107" i="2" s="1"/>
  <c r="O108" i="2"/>
  <c r="O109" i="2"/>
  <c r="P109" i="2" s="1"/>
  <c r="O110" i="2"/>
  <c r="P110" i="2" s="1"/>
  <c r="O111" i="2"/>
  <c r="P111" i="2" s="1"/>
  <c r="O112" i="2"/>
  <c r="P112" i="2" s="1"/>
  <c r="O113" i="2"/>
  <c r="P113" i="2" s="1"/>
  <c r="O114" i="2"/>
  <c r="P114" i="2" s="1"/>
  <c r="O115" i="2"/>
  <c r="P115" i="2" s="1"/>
  <c r="O116" i="2"/>
  <c r="O117" i="2"/>
  <c r="P117" i="2" s="1"/>
  <c r="O118" i="2"/>
  <c r="P118" i="2" s="1"/>
  <c r="O119" i="2"/>
  <c r="P119" i="2" s="1"/>
  <c r="O120" i="2"/>
  <c r="P120" i="2" s="1"/>
  <c r="O121" i="2"/>
  <c r="P121" i="2" s="1"/>
  <c r="O122" i="2"/>
  <c r="P122" i="2" s="1"/>
  <c r="O123" i="2"/>
  <c r="P123" i="2" s="1"/>
  <c r="O124" i="2"/>
  <c r="O125" i="2"/>
  <c r="P125" i="2" s="1"/>
  <c r="O126" i="2"/>
  <c r="P126" i="2" s="1"/>
  <c r="O127" i="2"/>
  <c r="O128" i="2"/>
  <c r="P128" i="2" s="1"/>
  <c r="O129" i="2"/>
  <c r="P129" i="2" s="1"/>
  <c r="O130" i="2"/>
  <c r="P130" i="2" s="1"/>
  <c r="O131" i="2"/>
  <c r="P131" i="2" s="1"/>
  <c r="O132" i="2"/>
  <c r="O133" i="2"/>
  <c r="P133" i="2" s="1"/>
  <c r="O134" i="2"/>
  <c r="P134" i="2" s="1"/>
  <c r="O135" i="2"/>
  <c r="P135" i="2" s="1"/>
  <c r="O136" i="2"/>
  <c r="P136" i="2" s="1"/>
  <c r="O137" i="2"/>
  <c r="O138" i="2"/>
  <c r="P138" i="2" s="1"/>
  <c r="O139" i="2"/>
  <c r="P139" i="2" s="1"/>
  <c r="O140" i="2"/>
  <c r="O141" i="2"/>
  <c r="P141" i="2" s="1"/>
  <c r="O142" i="2"/>
  <c r="P142" i="2" s="1"/>
  <c r="O143" i="2"/>
  <c r="P143" i="2" s="1"/>
  <c r="O144" i="2"/>
  <c r="P144" i="2" s="1"/>
  <c r="O145" i="2"/>
  <c r="P145" i="2" s="1"/>
  <c r="O146" i="2"/>
  <c r="P146" i="2" s="1"/>
  <c r="O147" i="2"/>
  <c r="O148" i="2"/>
  <c r="O149" i="2"/>
  <c r="P149" i="2" s="1"/>
  <c r="O150" i="2"/>
  <c r="P150" i="2" s="1"/>
  <c r="O151" i="2"/>
  <c r="O152" i="2"/>
  <c r="P151" i="2" s="1"/>
  <c r="O153" i="2"/>
  <c r="P153" i="2" s="1"/>
  <c r="O154" i="2"/>
  <c r="P154" i="2" s="1"/>
  <c r="O155" i="2"/>
  <c r="P155" i="2" s="1"/>
  <c r="O156" i="2"/>
  <c r="O157" i="2"/>
  <c r="O158" i="2"/>
  <c r="P158" i="2" s="1"/>
  <c r="O159" i="2"/>
  <c r="P159" i="2" s="1"/>
  <c r="O160" i="2"/>
  <c r="P160" i="2" s="1"/>
  <c r="O161" i="2"/>
  <c r="P161" i="2" s="1"/>
  <c r="O162" i="2"/>
  <c r="P162" i="2" s="1"/>
  <c r="O163" i="2"/>
  <c r="P163" i="2" s="1"/>
  <c r="O164" i="2"/>
  <c r="O165" i="2"/>
  <c r="P165" i="2" s="1"/>
  <c r="O166" i="2"/>
  <c r="O167" i="2"/>
  <c r="P167" i="2" s="1"/>
  <c r="O168" i="2"/>
  <c r="P168" i="2" s="1"/>
  <c r="O169" i="2"/>
  <c r="P169" i="2" s="1"/>
  <c r="O170" i="2"/>
  <c r="P170" i="2" s="1"/>
  <c r="O171" i="2"/>
  <c r="P171" i="2" s="1"/>
  <c r="O172" i="2"/>
  <c r="O173" i="2"/>
  <c r="P173" i="2" s="1"/>
  <c r="O174" i="2"/>
  <c r="P174" i="2" s="1"/>
  <c r="O175" i="2"/>
  <c r="O176" i="2"/>
  <c r="P176" i="2" s="1"/>
  <c r="O177" i="2"/>
  <c r="P177" i="2" s="1"/>
  <c r="O178" i="2"/>
  <c r="P178" i="2" s="1"/>
  <c r="O179" i="2"/>
  <c r="P179" i="2" s="1"/>
  <c r="O180" i="2"/>
  <c r="O181" i="2"/>
  <c r="P181" i="2" s="1"/>
  <c r="O182" i="2"/>
  <c r="P182" i="2" s="1"/>
  <c r="O183" i="2"/>
  <c r="P183" i="2" s="1"/>
  <c r="O184" i="2"/>
  <c r="O185" i="2"/>
  <c r="P185" i="2" s="1"/>
  <c r="O186" i="2"/>
  <c r="P186" i="2" s="1"/>
  <c r="O187" i="2"/>
  <c r="P187" i="2" s="1"/>
  <c r="O188" i="2"/>
  <c r="O189" i="2"/>
  <c r="P189" i="2" s="1"/>
  <c r="O190" i="2"/>
  <c r="P190" i="2" s="1"/>
  <c r="O191" i="2"/>
  <c r="P191" i="2" s="1"/>
  <c r="O192" i="2"/>
  <c r="P192" i="2" s="1"/>
  <c r="O193" i="2"/>
  <c r="O194" i="2"/>
  <c r="P194" i="2" s="1"/>
  <c r="O195" i="2"/>
  <c r="P195" i="2" s="1"/>
  <c r="O196" i="2"/>
  <c r="O197" i="2"/>
  <c r="P197" i="2" s="1"/>
  <c r="O198" i="2"/>
  <c r="P198" i="2" s="1"/>
  <c r="O199" i="2"/>
  <c r="P199" i="2" s="1"/>
  <c r="O200" i="2"/>
  <c r="P200" i="2" s="1"/>
  <c r="O201" i="2"/>
  <c r="P201" i="2" s="1"/>
  <c r="O202" i="2"/>
  <c r="O203" i="2"/>
  <c r="P203" i="2" s="1"/>
  <c r="O204" i="2"/>
  <c r="O205" i="2"/>
  <c r="P205" i="2" s="1"/>
  <c r="O206" i="2"/>
  <c r="P206" i="2" s="1"/>
  <c r="O207" i="2"/>
  <c r="P207" i="2" s="1"/>
  <c r="O208" i="2"/>
  <c r="P208" i="2" s="1"/>
  <c r="O209" i="2"/>
  <c r="P209" i="2" s="1"/>
  <c r="O210" i="2"/>
  <c r="P210" i="2" s="1"/>
  <c r="O211" i="2"/>
  <c r="O212" i="2"/>
  <c r="O213" i="2"/>
  <c r="P213" i="2" s="1"/>
  <c r="O214" i="2"/>
  <c r="P214" i="2" s="1"/>
  <c r="O215" i="2"/>
  <c r="P215" i="2" s="1"/>
  <c r="O216" i="2"/>
  <c r="P216" i="2" s="1"/>
  <c r="O217" i="2"/>
  <c r="P217" i="2" s="1"/>
  <c r="O218" i="2"/>
  <c r="P218" i="2" s="1"/>
  <c r="O219" i="2"/>
  <c r="P219" i="2" s="1"/>
  <c r="O220" i="2"/>
  <c r="O221" i="2"/>
  <c r="P221" i="2" s="1"/>
  <c r="O222" i="2"/>
  <c r="P222" i="2" s="1"/>
  <c r="O223" i="2"/>
  <c r="P223" i="2" s="1"/>
  <c r="O224" i="2"/>
  <c r="P224" i="2" s="1"/>
  <c r="O225" i="2"/>
  <c r="P225" i="2" s="1"/>
  <c r="O226" i="2"/>
  <c r="P226" i="2" s="1"/>
  <c r="O227" i="2"/>
  <c r="P227" i="2" s="1"/>
  <c r="O228" i="2"/>
  <c r="O229" i="2"/>
  <c r="P229" i="2" s="1"/>
  <c r="O230" i="2"/>
  <c r="O231" i="2"/>
  <c r="P231" i="2" s="1"/>
  <c r="O232" i="2"/>
  <c r="P232" i="2" s="1"/>
  <c r="O233" i="2"/>
  <c r="P233" i="2" s="1"/>
  <c r="O234" i="2"/>
  <c r="P234" i="2" s="1"/>
  <c r="O235" i="2"/>
  <c r="P235" i="2" s="1"/>
  <c r="O236" i="2"/>
  <c r="O237" i="2"/>
  <c r="P237" i="2" s="1"/>
  <c r="O238" i="2"/>
  <c r="P238" i="2" s="1"/>
  <c r="O239" i="2"/>
  <c r="O240" i="2"/>
  <c r="P240" i="2" s="1"/>
  <c r="O241" i="2"/>
  <c r="P241" i="2" s="1"/>
  <c r="O242" i="2"/>
  <c r="P242" i="2" s="1"/>
  <c r="O243" i="2"/>
  <c r="P243" i="2" s="1"/>
  <c r="O244" i="2"/>
  <c r="O245" i="2"/>
  <c r="P245" i="2" s="1"/>
  <c r="O246" i="2"/>
  <c r="P246" i="2" s="1"/>
  <c r="O247" i="2"/>
  <c r="P247" i="2" s="1"/>
  <c r="O248" i="2"/>
  <c r="O249" i="2"/>
  <c r="P249" i="2" s="1"/>
  <c r="O250" i="2"/>
  <c r="P250" i="2" s="1"/>
  <c r="O251" i="2"/>
  <c r="P251" i="2" s="1"/>
  <c r="O252" i="2"/>
  <c r="O253" i="2"/>
  <c r="P253" i="2" s="1"/>
  <c r="O254" i="2"/>
  <c r="P254" i="2" s="1"/>
  <c r="O255" i="2"/>
  <c r="P255" i="2" s="1"/>
  <c r="O256" i="2"/>
  <c r="P256" i="2" s="1"/>
  <c r="O257" i="2"/>
  <c r="O258" i="2"/>
  <c r="P258" i="2" s="1"/>
  <c r="O259" i="2"/>
  <c r="P259" i="2" s="1"/>
  <c r="O260" i="2"/>
  <c r="O261" i="2"/>
  <c r="P261" i="2" s="1"/>
  <c r="O262" i="2"/>
  <c r="P262" i="2" s="1"/>
  <c r="O263" i="2"/>
  <c r="P263" i="2" s="1"/>
  <c r="O264" i="2"/>
  <c r="P264" i="2" s="1"/>
  <c r="O265" i="2"/>
  <c r="P265" i="2" s="1"/>
  <c r="O266" i="2"/>
  <c r="O267" i="2"/>
  <c r="P267" i="2" s="1"/>
  <c r="O268" i="2"/>
  <c r="O269" i="2"/>
  <c r="P269" i="2" s="1"/>
  <c r="O270" i="2"/>
  <c r="O271" i="2"/>
  <c r="P271" i="2" s="1"/>
  <c r="O272" i="2"/>
  <c r="P272" i="2" s="1"/>
  <c r="O273" i="2"/>
  <c r="P273" i="2" s="1"/>
  <c r="O274" i="2"/>
  <c r="P274" i="2" s="1"/>
  <c r="O275" i="2"/>
  <c r="O276" i="2"/>
  <c r="O277" i="2"/>
  <c r="P277" i="2" s="1"/>
  <c r="O278" i="2"/>
  <c r="O279" i="2"/>
  <c r="P279" i="2" s="1"/>
  <c r="O280" i="2"/>
  <c r="P280" i="2" s="1"/>
  <c r="O281" i="2"/>
  <c r="P281" i="2" s="1"/>
  <c r="O282" i="2"/>
  <c r="P282" i="2" s="1"/>
  <c r="O283" i="2"/>
  <c r="P283" i="2" s="1"/>
  <c r="O284" i="2"/>
  <c r="O285" i="2"/>
  <c r="O286" i="2"/>
  <c r="O287" i="2"/>
  <c r="P287" i="2" s="1"/>
  <c r="O288" i="2"/>
  <c r="P288" i="2" s="1"/>
  <c r="O289" i="2"/>
  <c r="P289" i="2" s="1"/>
  <c r="O290" i="2"/>
  <c r="P290" i="2" s="1"/>
  <c r="O291" i="2"/>
  <c r="P291" i="2" s="1"/>
  <c r="O292" i="2"/>
  <c r="O293" i="2"/>
  <c r="P293" i="2" s="1"/>
  <c r="O294" i="2"/>
  <c r="O295" i="2"/>
  <c r="P295" i="2" s="1"/>
  <c r="O296" i="2"/>
  <c r="P296" i="2" s="1"/>
  <c r="O297" i="2"/>
  <c r="P297" i="2" s="1"/>
  <c r="O298" i="2"/>
  <c r="P298" i="2" s="1"/>
  <c r="O299" i="2"/>
  <c r="P299" i="2" s="1"/>
  <c r="O300" i="2"/>
  <c r="O301" i="2"/>
  <c r="P301" i="2" s="1"/>
  <c r="O302" i="2"/>
  <c r="O303" i="2"/>
  <c r="P303" i="2" s="1"/>
  <c r="O304" i="2"/>
  <c r="P304" i="2" s="1"/>
  <c r="O305" i="2"/>
  <c r="P305" i="2" s="1"/>
  <c r="O306" i="2"/>
  <c r="P306" i="2" s="1"/>
  <c r="O307" i="2"/>
  <c r="P307" i="2" s="1"/>
  <c r="O308" i="2"/>
  <c r="O309" i="2"/>
  <c r="P309" i="2" s="1"/>
  <c r="O310" i="2"/>
  <c r="O311" i="2"/>
  <c r="P311" i="2" s="1"/>
  <c r="O312" i="2"/>
  <c r="P312" i="2" s="1"/>
  <c r="O313" i="2"/>
  <c r="P313" i="2" s="1"/>
  <c r="O314" i="2"/>
  <c r="P314" i="2" s="1"/>
  <c r="O315" i="2"/>
  <c r="P315" i="2" s="1"/>
  <c r="O316" i="2"/>
  <c r="O317" i="2"/>
  <c r="P317" i="2" s="1"/>
  <c r="O318" i="2"/>
  <c r="O319" i="2"/>
  <c r="P319" i="2" s="1"/>
  <c r="O320" i="2"/>
  <c r="P320" i="2" s="1"/>
  <c r="O321" i="2"/>
  <c r="O322" i="2"/>
  <c r="P322" i="2" s="1"/>
  <c r="O323" i="2"/>
  <c r="P323" i="2" s="1"/>
  <c r="O324" i="2"/>
  <c r="O325" i="2"/>
  <c r="P325" i="2" s="1"/>
  <c r="O326" i="2"/>
  <c r="O327" i="2"/>
  <c r="P327" i="2" s="1"/>
  <c r="O328" i="2"/>
  <c r="P328" i="2" s="1"/>
  <c r="O329" i="2"/>
  <c r="P329" i="2" s="1"/>
  <c r="O330" i="2"/>
  <c r="O331" i="2"/>
  <c r="P331" i="2" s="1"/>
  <c r="O332" i="2"/>
  <c r="O333" i="2"/>
  <c r="P333" i="2" s="1"/>
  <c r="O334" i="2"/>
  <c r="O335" i="2"/>
  <c r="P335" i="2" s="1"/>
  <c r="O336" i="2"/>
  <c r="P336" i="2" s="1"/>
  <c r="O337" i="2"/>
  <c r="P337" i="2" s="1"/>
  <c r="O338" i="2"/>
  <c r="P338" i="2" s="1"/>
  <c r="O339" i="2"/>
  <c r="O340" i="2"/>
  <c r="O341" i="2"/>
  <c r="P341" i="2" s="1"/>
  <c r="O342" i="2"/>
  <c r="O343" i="2"/>
  <c r="P343" i="2" s="1"/>
  <c r="O344" i="2"/>
  <c r="P344" i="2" s="1"/>
  <c r="O345" i="2"/>
  <c r="P345" i="2" s="1"/>
  <c r="O346" i="2"/>
  <c r="P346" i="2" s="1"/>
  <c r="O347" i="2"/>
  <c r="P347" i="2" s="1"/>
  <c r="O348" i="2"/>
  <c r="O349" i="2"/>
  <c r="O350" i="2"/>
  <c r="O351" i="2"/>
  <c r="P351" i="2" s="1"/>
  <c r="O352" i="2"/>
  <c r="P352" i="2" s="1"/>
  <c r="O353" i="2"/>
  <c r="P353" i="2" s="1"/>
  <c r="O354" i="2"/>
  <c r="P354" i="2" s="1"/>
  <c r="O355" i="2"/>
  <c r="P355" i="2" s="1"/>
  <c r="O356" i="2"/>
  <c r="O357" i="2"/>
  <c r="P357" i="2" s="1"/>
  <c r="O358" i="2"/>
  <c r="O359" i="2"/>
  <c r="O360" i="2"/>
  <c r="P360" i="2" s="1"/>
  <c r="O361" i="2"/>
  <c r="P361" i="2" s="1"/>
  <c r="O362" i="2"/>
  <c r="P362" i="2" s="1"/>
  <c r="O363" i="2"/>
  <c r="P363" i="2" s="1"/>
  <c r="O364" i="2"/>
  <c r="O365" i="2"/>
  <c r="P365" i="2" s="1"/>
  <c r="O366" i="2"/>
  <c r="P366" i="2" s="1"/>
  <c r="O367" i="2"/>
  <c r="P367" i="2" s="1"/>
  <c r="O368" i="2"/>
  <c r="P368" i="2" s="1"/>
  <c r="O369" i="2"/>
  <c r="P369" i="2" s="1"/>
  <c r="O370" i="2"/>
  <c r="P370" i="2" s="1"/>
  <c r="O371" i="2"/>
  <c r="P371" i="2" s="1"/>
  <c r="O372" i="2"/>
  <c r="O373" i="2"/>
  <c r="P373" i="2" s="1"/>
  <c r="O374" i="2"/>
  <c r="P374" i="2" s="1"/>
  <c r="O375" i="2"/>
  <c r="P375" i="2" s="1"/>
  <c r="O376" i="2"/>
  <c r="P376" i="2" s="1"/>
  <c r="O377" i="2"/>
  <c r="P377" i="2" s="1"/>
  <c r="O378" i="2"/>
  <c r="P378" i="2" s="1"/>
  <c r="O379" i="2"/>
  <c r="P379" i="2" s="1"/>
  <c r="O380" i="2"/>
  <c r="O381" i="2"/>
  <c r="P381" i="2" s="1"/>
  <c r="O382" i="2"/>
  <c r="P382" i="2" s="1"/>
  <c r="O383" i="2"/>
  <c r="P383" i="2" s="1"/>
  <c r="O384" i="2"/>
  <c r="P384" i="2" s="1"/>
  <c r="O385" i="2"/>
  <c r="O386" i="2"/>
  <c r="P386" i="2" s="1"/>
  <c r="O387" i="2"/>
  <c r="P387" i="2" s="1"/>
  <c r="O388" i="2"/>
  <c r="O389" i="2"/>
  <c r="P389" i="2" s="1"/>
  <c r="O390" i="2"/>
  <c r="P390" i="2" s="1"/>
  <c r="O391" i="2"/>
  <c r="P391" i="2" s="1"/>
  <c r="O392" i="2"/>
  <c r="P392" i="2" s="1"/>
  <c r="O393" i="2"/>
  <c r="P393" i="2" s="1"/>
  <c r="O394" i="2"/>
  <c r="O395" i="2"/>
  <c r="P395" i="2" s="1"/>
  <c r="O396" i="2"/>
  <c r="O397" i="2"/>
  <c r="P397" i="2" s="1"/>
  <c r="O398" i="2"/>
  <c r="P398" i="2" s="1"/>
  <c r="O399" i="2"/>
  <c r="P399" i="2" s="1"/>
  <c r="O400" i="2"/>
  <c r="P400" i="2" s="1"/>
  <c r="O401" i="2"/>
  <c r="P401" i="2" s="1"/>
  <c r="O402" i="2"/>
  <c r="P402" i="2" s="1"/>
  <c r="O403" i="2"/>
  <c r="O404" i="2"/>
  <c r="O405" i="2"/>
  <c r="P405" i="2" s="1"/>
  <c r="O406" i="2"/>
  <c r="P406" i="2" s="1"/>
  <c r="O407" i="2"/>
  <c r="P407" i="2" s="1"/>
  <c r="O408" i="2"/>
  <c r="P408" i="2" s="1"/>
  <c r="O409" i="2"/>
  <c r="P409" i="2" s="1"/>
  <c r="O410" i="2"/>
  <c r="P410" i="2" s="1"/>
  <c r="O411" i="2"/>
  <c r="P411" i="2" s="1"/>
  <c r="O412" i="2"/>
  <c r="O413" i="2"/>
  <c r="O414" i="2"/>
  <c r="P414" i="2" s="1"/>
  <c r="O415" i="2"/>
  <c r="P415" i="2" s="1"/>
  <c r="O416" i="2"/>
  <c r="P416" i="2" s="1"/>
  <c r="O417" i="2"/>
  <c r="P417" i="2" s="1"/>
  <c r="O418" i="2"/>
  <c r="P418" i="2" s="1"/>
  <c r="O419" i="2"/>
  <c r="P419" i="2" s="1"/>
  <c r="O420" i="2"/>
  <c r="O421" i="2"/>
  <c r="O422" i="2"/>
  <c r="P422" i="2" s="1"/>
  <c r="O423" i="2"/>
  <c r="P423" i="2" s="1"/>
  <c r="O424" i="2"/>
  <c r="P424" i="2" s="1"/>
  <c r="O425" i="2"/>
  <c r="P425" i="2" s="1"/>
  <c r="O426" i="2"/>
  <c r="P426" i="2" s="1"/>
  <c r="O427" i="2"/>
  <c r="P427" i="2" s="1"/>
  <c r="O428" i="2"/>
  <c r="O429" i="2"/>
  <c r="O430" i="2"/>
  <c r="P430" i="2" s="1"/>
  <c r="O431" i="2"/>
  <c r="P431" i="2" s="1"/>
  <c r="O432" i="2"/>
  <c r="P432" i="2" s="1"/>
  <c r="O433" i="2"/>
  <c r="P433" i="2" s="1"/>
  <c r="O434" i="2"/>
  <c r="P434" i="2" s="1"/>
  <c r="O435" i="2"/>
  <c r="P435" i="2" s="1"/>
  <c r="O436" i="2"/>
  <c r="O437" i="2"/>
  <c r="O438" i="2"/>
  <c r="P438" i="2" s="1"/>
  <c r="O439" i="2"/>
  <c r="P439" i="2" s="1"/>
  <c r="O440" i="2"/>
  <c r="P440" i="2" s="1"/>
  <c r="O441" i="2"/>
  <c r="P441" i="2" s="1"/>
  <c r="O442" i="2"/>
  <c r="P442" i="2" s="1"/>
  <c r="O443" i="2"/>
  <c r="P443" i="2" s="1"/>
  <c r="O444" i="2"/>
  <c r="O445" i="2"/>
  <c r="O446" i="2"/>
  <c r="P446" i="2" s="1"/>
  <c r="O447" i="2"/>
  <c r="P447" i="2" s="1"/>
  <c r="O448" i="2"/>
  <c r="P448" i="2" s="1"/>
  <c r="O449" i="2"/>
  <c r="O450" i="2"/>
  <c r="P450" i="2" s="1"/>
  <c r="O451" i="2"/>
  <c r="P451" i="2" s="1"/>
  <c r="O452" i="2"/>
  <c r="O453" i="2"/>
  <c r="O454" i="2"/>
  <c r="P454" i="2" s="1"/>
  <c r="O455" i="2"/>
  <c r="P455" i="2" s="1"/>
  <c r="O456" i="2"/>
  <c r="P456" i="2" s="1"/>
  <c r="O457" i="2"/>
  <c r="P457" i="2" s="1"/>
  <c r="O458" i="2"/>
  <c r="O459" i="2"/>
  <c r="P459" i="2" s="1"/>
  <c r="O460" i="2"/>
  <c r="O461" i="2"/>
  <c r="O462" i="2"/>
  <c r="P462" i="2" s="1"/>
  <c r="O463" i="2"/>
  <c r="P463" i="2" s="1"/>
  <c r="J16" i="2"/>
  <c r="J17" i="2"/>
  <c r="J18" i="2"/>
  <c r="J24" i="2"/>
  <c r="J40" i="2"/>
  <c r="J48" i="2"/>
  <c r="J57" i="2"/>
  <c r="J58" i="2"/>
  <c r="J64" i="2"/>
  <c r="J72" i="2"/>
  <c r="J73" i="2"/>
  <c r="J74" i="2"/>
  <c r="J88" i="2"/>
  <c r="J89" i="2"/>
  <c r="J90" i="2"/>
  <c r="J96" i="2"/>
  <c r="J97" i="2"/>
  <c r="J104" i="2"/>
  <c r="J105" i="2"/>
  <c r="J112" i="2"/>
  <c r="J121" i="2"/>
  <c r="J136" i="2"/>
  <c r="J137" i="2"/>
  <c r="J151" i="2"/>
  <c r="J152" i="2"/>
  <c r="J161" i="2"/>
  <c r="J162" i="2"/>
  <c r="J175" i="2"/>
  <c r="J176" i="2"/>
  <c r="J185" i="2"/>
  <c r="J186" i="2"/>
  <c r="J192" i="2"/>
  <c r="J199" i="2"/>
  <c r="J201" i="2"/>
  <c r="J209" i="2"/>
  <c r="J216" i="2"/>
  <c r="J224" i="2"/>
  <c r="J225" i="2"/>
  <c r="J240" i="2"/>
  <c r="J248" i="2"/>
  <c r="J249" i="2"/>
  <c r="J265" i="2"/>
  <c r="J272" i="2"/>
  <c r="J273" i="2"/>
  <c r="J289" i="2"/>
  <c r="J297" i="2"/>
  <c r="J309" i="2"/>
  <c r="J313" i="2"/>
  <c r="J320" i="2"/>
  <c r="J321" i="2"/>
  <c r="J329" i="2"/>
  <c r="J330" i="2"/>
  <c r="J345" i="2"/>
  <c r="J351" i="2"/>
  <c r="J352" i="2"/>
  <c r="J360" i="2"/>
  <c r="J361" i="2"/>
  <c r="J376" i="2"/>
  <c r="J383" i="2"/>
  <c r="J384" i="2"/>
  <c r="J392" i="2"/>
  <c r="J393" i="2"/>
  <c r="J401" i="2"/>
  <c r="J402" i="2"/>
  <c r="J424" i="2"/>
  <c r="J433" i="2"/>
  <c r="J439" i="2"/>
  <c r="J440" i="2"/>
  <c r="J448" i="2"/>
  <c r="J449" i="2"/>
  <c r="J456" i="2"/>
  <c r="J457" i="2"/>
  <c r="I2" i="2"/>
  <c r="J2" i="2" s="1"/>
  <c r="I3" i="2"/>
  <c r="I4" i="2"/>
  <c r="J4" i="2" s="1"/>
  <c r="I5" i="2"/>
  <c r="J5" i="2" s="1"/>
  <c r="I6" i="2"/>
  <c r="I7" i="2"/>
  <c r="J7" i="2" s="1"/>
  <c r="I8" i="2"/>
  <c r="I9" i="2"/>
  <c r="I10" i="2"/>
  <c r="I11" i="2"/>
  <c r="I12" i="2"/>
  <c r="J12" i="2" s="1"/>
  <c r="I13" i="2"/>
  <c r="J13" i="2" s="1"/>
  <c r="I14" i="2"/>
  <c r="I15" i="2"/>
  <c r="J15" i="2" s="1"/>
  <c r="I16" i="2"/>
  <c r="I17" i="2"/>
  <c r="I18" i="2"/>
  <c r="I19" i="2"/>
  <c r="I20" i="2"/>
  <c r="J20" i="2" s="1"/>
  <c r="I21" i="2"/>
  <c r="J21" i="2" s="1"/>
  <c r="I22" i="2"/>
  <c r="I23" i="2"/>
  <c r="J23" i="2" s="1"/>
  <c r="I24" i="2"/>
  <c r="I25" i="2"/>
  <c r="I26" i="2"/>
  <c r="I27" i="2"/>
  <c r="I28" i="2"/>
  <c r="J28" i="2" s="1"/>
  <c r="I29" i="2"/>
  <c r="J29" i="2" s="1"/>
  <c r="I30" i="2"/>
  <c r="I31" i="2"/>
  <c r="J31" i="2" s="1"/>
  <c r="I32" i="2"/>
  <c r="I33" i="2"/>
  <c r="J32" i="2" s="1"/>
  <c r="I34" i="2"/>
  <c r="J34" i="2" s="1"/>
  <c r="I35" i="2"/>
  <c r="I36" i="2"/>
  <c r="J36" i="2" s="1"/>
  <c r="I37" i="2"/>
  <c r="J37" i="2" s="1"/>
  <c r="I38" i="2"/>
  <c r="I39" i="2"/>
  <c r="J39" i="2" s="1"/>
  <c r="I40" i="2"/>
  <c r="I41" i="2"/>
  <c r="I42" i="2"/>
  <c r="I43" i="2"/>
  <c r="I44" i="2"/>
  <c r="J44" i="2" s="1"/>
  <c r="I45" i="2"/>
  <c r="J45" i="2" s="1"/>
  <c r="I46" i="2"/>
  <c r="I47" i="2"/>
  <c r="J47" i="2" s="1"/>
  <c r="I48" i="2"/>
  <c r="I49" i="2"/>
  <c r="J49" i="2" s="1"/>
  <c r="I50" i="2"/>
  <c r="J50" i="2" s="1"/>
  <c r="I51" i="2"/>
  <c r="I52" i="2"/>
  <c r="J52" i="2" s="1"/>
  <c r="I53" i="2"/>
  <c r="J53" i="2" s="1"/>
  <c r="I54" i="2"/>
  <c r="I55" i="2"/>
  <c r="J55" i="2" s="1"/>
  <c r="I56" i="2"/>
  <c r="J56" i="2" s="1"/>
  <c r="I57" i="2"/>
  <c r="I58" i="2"/>
  <c r="I59" i="2"/>
  <c r="I60" i="2"/>
  <c r="J60" i="2" s="1"/>
  <c r="I61" i="2"/>
  <c r="J61" i="2" s="1"/>
  <c r="I62" i="2"/>
  <c r="I63" i="2"/>
  <c r="J63" i="2" s="1"/>
  <c r="I64" i="2"/>
  <c r="I65" i="2"/>
  <c r="J65" i="2" s="1"/>
  <c r="I66" i="2"/>
  <c r="I67" i="2"/>
  <c r="I68" i="2"/>
  <c r="J68" i="2" s="1"/>
  <c r="I69" i="2"/>
  <c r="J69" i="2" s="1"/>
  <c r="I70" i="2"/>
  <c r="I71" i="2"/>
  <c r="J71" i="2" s="1"/>
  <c r="I72" i="2"/>
  <c r="I73" i="2"/>
  <c r="I74" i="2"/>
  <c r="I75" i="2"/>
  <c r="I76" i="2"/>
  <c r="J76" i="2" s="1"/>
  <c r="I77" i="2"/>
  <c r="J77" i="2" s="1"/>
  <c r="I78" i="2"/>
  <c r="I79" i="2"/>
  <c r="J79" i="2" s="1"/>
  <c r="I80" i="2"/>
  <c r="J80" i="2" s="1"/>
  <c r="I81" i="2"/>
  <c r="I82" i="2"/>
  <c r="I83" i="2"/>
  <c r="I84" i="2"/>
  <c r="J84" i="2" s="1"/>
  <c r="I85" i="2"/>
  <c r="J85" i="2" s="1"/>
  <c r="I86" i="2"/>
  <c r="I87" i="2"/>
  <c r="J87" i="2" s="1"/>
  <c r="I88" i="2"/>
  <c r="I89" i="2"/>
  <c r="I90" i="2"/>
  <c r="I91" i="2"/>
  <c r="I92" i="2"/>
  <c r="J92" i="2" s="1"/>
  <c r="I93" i="2"/>
  <c r="J93" i="2" s="1"/>
  <c r="I94" i="2"/>
  <c r="I95" i="2"/>
  <c r="J95" i="2" s="1"/>
  <c r="I96" i="2"/>
  <c r="I97" i="2"/>
  <c r="I98" i="2"/>
  <c r="J98" i="2" s="1"/>
  <c r="I99" i="2"/>
  <c r="I100" i="2"/>
  <c r="J100" i="2" s="1"/>
  <c r="I101" i="2"/>
  <c r="J101" i="2" s="1"/>
  <c r="I102" i="2"/>
  <c r="I103" i="2"/>
  <c r="J103" i="2" s="1"/>
  <c r="I104" i="2"/>
  <c r="I105" i="2"/>
  <c r="I106" i="2"/>
  <c r="I107" i="2"/>
  <c r="I108" i="2"/>
  <c r="J108" i="2" s="1"/>
  <c r="I109" i="2"/>
  <c r="J109" i="2" s="1"/>
  <c r="I110" i="2"/>
  <c r="I111" i="2"/>
  <c r="J111" i="2" s="1"/>
  <c r="I112" i="2"/>
  <c r="I113" i="2"/>
  <c r="J113" i="2" s="1"/>
  <c r="I114" i="2"/>
  <c r="J114" i="2" s="1"/>
  <c r="I115" i="2"/>
  <c r="I116" i="2"/>
  <c r="J116" i="2" s="1"/>
  <c r="I117" i="2"/>
  <c r="J117" i="2" s="1"/>
  <c r="I118" i="2"/>
  <c r="I119" i="2"/>
  <c r="J119" i="2" s="1"/>
  <c r="I120" i="2"/>
  <c r="J120" i="2" s="1"/>
  <c r="I121" i="2"/>
  <c r="I122" i="2"/>
  <c r="I123" i="2"/>
  <c r="I124" i="2"/>
  <c r="J124" i="2" s="1"/>
  <c r="I125" i="2"/>
  <c r="J125" i="2" s="1"/>
  <c r="I126" i="2"/>
  <c r="I127" i="2"/>
  <c r="J127" i="2" s="1"/>
  <c r="I128" i="2"/>
  <c r="J128" i="2" s="1"/>
  <c r="I129" i="2"/>
  <c r="J129" i="2" s="1"/>
  <c r="I130" i="2"/>
  <c r="J130" i="2" s="1"/>
  <c r="I131" i="2"/>
  <c r="I132" i="2"/>
  <c r="J132" i="2" s="1"/>
  <c r="I133" i="2"/>
  <c r="J133" i="2" s="1"/>
  <c r="I134" i="2"/>
  <c r="I135" i="2"/>
  <c r="J135" i="2" s="1"/>
  <c r="I136" i="2"/>
  <c r="I137" i="2"/>
  <c r="I138" i="2"/>
  <c r="J138" i="2" s="1"/>
  <c r="I139" i="2"/>
  <c r="I140" i="2"/>
  <c r="J140" i="2" s="1"/>
  <c r="I141" i="2"/>
  <c r="J141" i="2" s="1"/>
  <c r="I142" i="2"/>
  <c r="I143" i="2"/>
  <c r="J143" i="2" s="1"/>
  <c r="I144" i="2"/>
  <c r="J144" i="2" s="1"/>
  <c r="I145" i="2"/>
  <c r="I146" i="2"/>
  <c r="J146" i="2" s="1"/>
  <c r="I147" i="2"/>
  <c r="I148" i="2"/>
  <c r="J148" i="2" s="1"/>
  <c r="I149" i="2"/>
  <c r="J149" i="2" s="1"/>
  <c r="I150" i="2"/>
  <c r="I151" i="2"/>
  <c r="I152" i="2"/>
  <c r="I153" i="2"/>
  <c r="I154" i="2"/>
  <c r="J153" i="2" s="1"/>
  <c r="I155" i="2"/>
  <c r="I156" i="2"/>
  <c r="J156" i="2" s="1"/>
  <c r="I157" i="2"/>
  <c r="J157" i="2" s="1"/>
  <c r="I158" i="2"/>
  <c r="I159" i="2"/>
  <c r="J159" i="2" s="1"/>
  <c r="I160" i="2"/>
  <c r="J160" i="2" s="1"/>
  <c r="I161" i="2"/>
  <c r="I162" i="2"/>
  <c r="I163" i="2"/>
  <c r="I164" i="2"/>
  <c r="J164" i="2" s="1"/>
  <c r="I165" i="2"/>
  <c r="J165" i="2" s="1"/>
  <c r="I166" i="2"/>
  <c r="I167" i="2"/>
  <c r="J167" i="2" s="1"/>
  <c r="I168" i="2"/>
  <c r="J168" i="2" s="1"/>
  <c r="I169" i="2"/>
  <c r="J169" i="2" s="1"/>
  <c r="I170" i="2"/>
  <c r="J170" i="2" s="1"/>
  <c r="I171" i="2"/>
  <c r="I172" i="2"/>
  <c r="J172" i="2" s="1"/>
  <c r="I173" i="2"/>
  <c r="J173" i="2" s="1"/>
  <c r="I174" i="2"/>
  <c r="I175" i="2"/>
  <c r="I176" i="2"/>
  <c r="I177" i="2"/>
  <c r="I178" i="2"/>
  <c r="I179" i="2"/>
  <c r="I180" i="2"/>
  <c r="J180" i="2" s="1"/>
  <c r="I181" i="2"/>
  <c r="J181" i="2" s="1"/>
  <c r="I182" i="2"/>
  <c r="I183" i="2"/>
  <c r="J183" i="2" s="1"/>
  <c r="I184" i="2"/>
  <c r="J184" i="2" s="1"/>
  <c r="I185" i="2"/>
  <c r="I186" i="2"/>
  <c r="I187" i="2"/>
  <c r="I188" i="2"/>
  <c r="J188" i="2" s="1"/>
  <c r="I189" i="2"/>
  <c r="J189" i="2" s="1"/>
  <c r="I190" i="2"/>
  <c r="I191" i="2"/>
  <c r="J191" i="2" s="1"/>
  <c r="I192" i="2"/>
  <c r="I193" i="2"/>
  <c r="J193" i="2" s="1"/>
  <c r="I194" i="2"/>
  <c r="J194" i="2" s="1"/>
  <c r="I195" i="2"/>
  <c r="I196" i="2"/>
  <c r="J196" i="2" s="1"/>
  <c r="I197" i="2"/>
  <c r="J197" i="2" s="1"/>
  <c r="I198" i="2"/>
  <c r="I199" i="2"/>
  <c r="I200" i="2"/>
  <c r="J200" i="2" s="1"/>
  <c r="I201" i="2"/>
  <c r="I202" i="2"/>
  <c r="J202" i="2" s="1"/>
  <c r="I203" i="2"/>
  <c r="I204" i="2"/>
  <c r="J204" i="2" s="1"/>
  <c r="I205" i="2"/>
  <c r="J205" i="2" s="1"/>
  <c r="I206" i="2"/>
  <c r="I207" i="2"/>
  <c r="J207" i="2" s="1"/>
  <c r="I208" i="2"/>
  <c r="J208" i="2" s="1"/>
  <c r="I209" i="2"/>
  <c r="I210" i="2"/>
  <c r="I211" i="2"/>
  <c r="I212" i="2"/>
  <c r="J212" i="2" s="1"/>
  <c r="I213" i="2"/>
  <c r="J213" i="2" s="1"/>
  <c r="I214" i="2"/>
  <c r="I215" i="2"/>
  <c r="J215" i="2" s="1"/>
  <c r="I216" i="2"/>
  <c r="I217" i="2"/>
  <c r="J217" i="2" s="1"/>
  <c r="I218" i="2"/>
  <c r="J218" i="2" s="1"/>
  <c r="I219" i="2"/>
  <c r="I220" i="2"/>
  <c r="J220" i="2" s="1"/>
  <c r="I221" i="2"/>
  <c r="J221" i="2" s="1"/>
  <c r="I222" i="2"/>
  <c r="I223" i="2"/>
  <c r="J223" i="2" s="1"/>
  <c r="I224" i="2"/>
  <c r="I225" i="2"/>
  <c r="I226" i="2"/>
  <c r="J226" i="2" s="1"/>
  <c r="I227" i="2"/>
  <c r="I228" i="2"/>
  <c r="J228" i="2" s="1"/>
  <c r="I229" i="2"/>
  <c r="J229" i="2" s="1"/>
  <c r="I230" i="2"/>
  <c r="I231" i="2"/>
  <c r="J231" i="2" s="1"/>
  <c r="I232" i="2"/>
  <c r="J232" i="2" s="1"/>
  <c r="I233" i="2"/>
  <c r="J233" i="2" s="1"/>
  <c r="I234" i="2"/>
  <c r="I235" i="2"/>
  <c r="I236" i="2"/>
  <c r="J236" i="2" s="1"/>
  <c r="I237" i="2"/>
  <c r="J237" i="2" s="1"/>
  <c r="I238" i="2"/>
  <c r="I239" i="2"/>
  <c r="J239" i="2" s="1"/>
  <c r="I240" i="2"/>
  <c r="I241" i="2"/>
  <c r="J241" i="2" s="1"/>
  <c r="I242" i="2"/>
  <c r="I243" i="2"/>
  <c r="I244" i="2"/>
  <c r="J244" i="2" s="1"/>
  <c r="I245" i="2"/>
  <c r="J245" i="2" s="1"/>
  <c r="I246" i="2"/>
  <c r="I247" i="2"/>
  <c r="J247" i="2" s="1"/>
  <c r="I248" i="2"/>
  <c r="I249" i="2"/>
  <c r="I250" i="2"/>
  <c r="J250" i="2" s="1"/>
  <c r="I251" i="2"/>
  <c r="I252" i="2"/>
  <c r="J252" i="2" s="1"/>
  <c r="I253" i="2"/>
  <c r="J253" i="2" s="1"/>
  <c r="I254" i="2"/>
  <c r="I255" i="2"/>
  <c r="J255" i="2" s="1"/>
  <c r="I256" i="2"/>
  <c r="J256" i="2" s="1"/>
  <c r="I257" i="2"/>
  <c r="J257" i="2" s="1"/>
  <c r="I258" i="2"/>
  <c r="I259" i="2"/>
  <c r="I260" i="2"/>
  <c r="J260" i="2" s="1"/>
  <c r="I261" i="2"/>
  <c r="J261" i="2" s="1"/>
  <c r="I262" i="2"/>
  <c r="I263" i="2"/>
  <c r="J263" i="2" s="1"/>
  <c r="I264" i="2"/>
  <c r="J264" i="2" s="1"/>
  <c r="I265" i="2"/>
  <c r="I266" i="2"/>
  <c r="J266" i="2" s="1"/>
  <c r="I267" i="2"/>
  <c r="I268" i="2"/>
  <c r="J268" i="2" s="1"/>
  <c r="I269" i="2"/>
  <c r="J269" i="2" s="1"/>
  <c r="I270" i="2"/>
  <c r="I271" i="2"/>
  <c r="J271" i="2" s="1"/>
  <c r="I272" i="2"/>
  <c r="I273" i="2"/>
  <c r="I274" i="2"/>
  <c r="I275" i="2"/>
  <c r="I276" i="2"/>
  <c r="J276" i="2" s="1"/>
  <c r="I277" i="2"/>
  <c r="J277" i="2" s="1"/>
  <c r="I278" i="2"/>
  <c r="I279" i="2"/>
  <c r="J279" i="2" s="1"/>
  <c r="I280" i="2"/>
  <c r="J280" i="2" s="1"/>
  <c r="I281" i="2"/>
  <c r="J281" i="2" s="1"/>
  <c r="I282" i="2"/>
  <c r="I283" i="2"/>
  <c r="I284" i="2"/>
  <c r="J284" i="2" s="1"/>
  <c r="I285" i="2"/>
  <c r="J285" i="2" s="1"/>
  <c r="I286" i="2"/>
  <c r="I287" i="2"/>
  <c r="J287" i="2" s="1"/>
  <c r="I288" i="2"/>
  <c r="J288" i="2" s="1"/>
  <c r="I289" i="2"/>
  <c r="I290" i="2"/>
  <c r="J290" i="2" s="1"/>
  <c r="I291" i="2"/>
  <c r="I292" i="2"/>
  <c r="J292" i="2" s="1"/>
  <c r="I293" i="2"/>
  <c r="J293" i="2" s="1"/>
  <c r="I294" i="2"/>
  <c r="I295" i="2"/>
  <c r="J295" i="2" s="1"/>
  <c r="I296" i="2"/>
  <c r="J296" i="2" s="1"/>
  <c r="I297" i="2"/>
  <c r="I298" i="2"/>
  <c r="I299" i="2"/>
  <c r="I300" i="2"/>
  <c r="J300" i="2" s="1"/>
  <c r="I301" i="2"/>
  <c r="J301" i="2" s="1"/>
  <c r="I302" i="2"/>
  <c r="I303" i="2"/>
  <c r="J303" i="2" s="1"/>
  <c r="I304" i="2"/>
  <c r="J304" i="2" s="1"/>
  <c r="I305" i="2"/>
  <c r="J305" i="2" s="1"/>
  <c r="I306" i="2"/>
  <c r="I307" i="2"/>
  <c r="I308" i="2"/>
  <c r="J308" i="2" s="1"/>
  <c r="I309" i="2"/>
  <c r="I310" i="2"/>
  <c r="I311" i="2"/>
  <c r="J311" i="2" s="1"/>
  <c r="I312" i="2"/>
  <c r="J312" i="2" s="1"/>
  <c r="I313" i="2"/>
  <c r="I314" i="2"/>
  <c r="J314" i="2" s="1"/>
  <c r="I315" i="2"/>
  <c r="J315" i="2" s="1"/>
  <c r="I316" i="2"/>
  <c r="J316" i="2" s="1"/>
  <c r="I317" i="2"/>
  <c r="J317" i="2" s="1"/>
  <c r="I318" i="2"/>
  <c r="I319" i="2"/>
  <c r="J319" i="2" s="1"/>
  <c r="I320" i="2"/>
  <c r="I321" i="2"/>
  <c r="I322" i="2"/>
  <c r="J322" i="2" s="1"/>
  <c r="I323" i="2"/>
  <c r="J323" i="2" s="1"/>
  <c r="I324" i="2"/>
  <c r="J324" i="2" s="1"/>
  <c r="I325" i="2"/>
  <c r="J325" i="2" s="1"/>
  <c r="I326" i="2"/>
  <c r="I327" i="2"/>
  <c r="J327" i="2" s="1"/>
  <c r="I328" i="2"/>
  <c r="J328" i="2" s="1"/>
  <c r="I329" i="2"/>
  <c r="I330" i="2"/>
  <c r="I331" i="2"/>
  <c r="J331" i="2" s="1"/>
  <c r="I332" i="2"/>
  <c r="J332" i="2" s="1"/>
  <c r="I333" i="2"/>
  <c r="J333" i="2" s="1"/>
  <c r="I334" i="2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I343" i="2"/>
  <c r="J343" i="2" s="1"/>
  <c r="I344" i="2"/>
  <c r="J344" i="2" s="1"/>
  <c r="I345" i="2"/>
  <c r="I346" i="2"/>
  <c r="J346" i="2" s="1"/>
  <c r="I347" i="2"/>
  <c r="J347" i="2" s="1"/>
  <c r="I348" i="2"/>
  <c r="J348" i="2" s="1"/>
  <c r="I349" i="2"/>
  <c r="J349" i="2" s="1"/>
  <c r="I350" i="2"/>
  <c r="I351" i="2"/>
  <c r="I352" i="2"/>
  <c r="I353" i="2"/>
  <c r="I354" i="2"/>
  <c r="J354" i="2" s="1"/>
  <c r="I355" i="2"/>
  <c r="J355" i="2" s="1"/>
  <c r="I356" i="2"/>
  <c r="J356" i="2" s="1"/>
  <c r="I357" i="2"/>
  <c r="J357" i="2" s="1"/>
  <c r="I358" i="2"/>
  <c r="I359" i="2"/>
  <c r="J359" i="2" s="1"/>
  <c r="I360" i="2"/>
  <c r="I361" i="2"/>
  <c r="I362" i="2"/>
  <c r="I363" i="2"/>
  <c r="J363" i="2" s="1"/>
  <c r="I364" i="2"/>
  <c r="J364" i="2" s="1"/>
  <c r="I365" i="2"/>
  <c r="J365" i="2" s="1"/>
  <c r="I366" i="2"/>
  <c r="I367" i="2"/>
  <c r="J367" i="2" s="1"/>
  <c r="I368" i="2"/>
  <c r="J368" i="2" s="1"/>
  <c r="I369" i="2"/>
  <c r="J369" i="2" s="1"/>
  <c r="I370" i="2"/>
  <c r="I371" i="2"/>
  <c r="I372" i="2"/>
  <c r="J372" i="2" s="1"/>
  <c r="I373" i="2"/>
  <c r="J373" i="2" s="1"/>
  <c r="I374" i="2"/>
  <c r="I375" i="2"/>
  <c r="J375" i="2" s="1"/>
  <c r="I376" i="2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I383" i="2"/>
  <c r="I384" i="2"/>
  <c r="I385" i="2"/>
  <c r="J385" i="2" s="1"/>
  <c r="I386" i="2"/>
  <c r="I387" i="2"/>
  <c r="J386" i="2" s="1"/>
  <c r="I388" i="2"/>
  <c r="J388" i="2" s="1"/>
  <c r="I389" i="2"/>
  <c r="J389" i="2" s="1"/>
  <c r="I390" i="2"/>
  <c r="I391" i="2"/>
  <c r="J391" i="2" s="1"/>
  <c r="I392" i="2"/>
  <c r="I393" i="2"/>
  <c r="I394" i="2"/>
  <c r="I395" i="2"/>
  <c r="J394" i="2" s="1"/>
  <c r="I396" i="2"/>
  <c r="J396" i="2" s="1"/>
  <c r="I397" i="2"/>
  <c r="J397" i="2" s="1"/>
  <c r="I398" i="2"/>
  <c r="I399" i="2"/>
  <c r="J399" i="2" s="1"/>
  <c r="I400" i="2"/>
  <c r="J400" i="2" s="1"/>
  <c r="I401" i="2"/>
  <c r="I402" i="2"/>
  <c r="I403" i="2"/>
  <c r="J403" i="2" s="1"/>
  <c r="I404" i="2"/>
  <c r="J404" i="2" s="1"/>
  <c r="I405" i="2"/>
  <c r="J405" i="2" s="1"/>
  <c r="I406" i="2"/>
  <c r="I407" i="2"/>
  <c r="J407" i="2" s="1"/>
  <c r="I408" i="2"/>
  <c r="J408" i="2" s="1"/>
  <c r="I409" i="2"/>
  <c r="J409" i="2" s="1"/>
  <c r="I410" i="2"/>
  <c r="I411" i="2"/>
  <c r="J410" i="2" s="1"/>
  <c r="I412" i="2"/>
  <c r="J412" i="2" s="1"/>
  <c r="I413" i="2"/>
  <c r="J413" i="2" s="1"/>
  <c r="I414" i="2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I423" i="2"/>
  <c r="J423" i="2" s="1"/>
  <c r="I424" i="2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I431" i="2"/>
  <c r="J431" i="2" s="1"/>
  <c r="I432" i="2"/>
  <c r="J432" i="2" s="1"/>
  <c r="I433" i="2"/>
  <c r="I434" i="2"/>
  <c r="J434" i="2" s="1"/>
  <c r="I435" i="2"/>
  <c r="J435" i="2" s="1"/>
  <c r="I436" i="2"/>
  <c r="J436" i="2" s="1"/>
  <c r="I437" i="2"/>
  <c r="J437" i="2" s="1"/>
  <c r="I438" i="2"/>
  <c r="I439" i="2"/>
  <c r="I440" i="2"/>
  <c r="I441" i="2"/>
  <c r="J441" i="2" s="1"/>
  <c r="I442" i="2"/>
  <c r="I443" i="2"/>
  <c r="J442" i="2" s="1"/>
  <c r="I444" i="2"/>
  <c r="J444" i="2" s="1"/>
  <c r="I445" i="2"/>
  <c r="J445" i="2" s="1"/>
  <c r="I446" i="2"/>
  <c r="I447" i="2"/>
  <c r="J447" i="2" s="1"/>
  <c r="I448" i="2"/>
  <c r="I449" i="2"/>
  <c r="I450" i="2"/>
  <c r="J450" i="2" s="1"/>
  <c r="I451" i="2"/>
  <c r="J451" i="2" s="1"/>
  <c r="I452" i="2"/>
  <c r="J452" i="2" s="1"/>
  <c r="I453" i="2"/>
  <c r="J453" i="2" s="1"/>
  <c r="I454" i="2"/>
  <c r="I455" i="2"/>
  <c r="J455" i="2" s="1"/>
  <c r="I456" i="2"/>
  <c r="I457" i="2"/>
  <c r="I458" i="2"/>
  <c r="I459" i="2"/>
  <c r="J458" i="2" s="1"/>
  <c r="I460" i="2"/>
  <c r="J460" i="2" s="1"/>
  <c r="I461" i="2"/>
  <c r="J461" i="2" s="1"/>
  <c r="I462" i="2"/>
  <c r="I463" i="2"/>
  <c r="J463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C9" i="3"/>
  <c r="C8" i="3"/>
  <c r="C7" i="3"/>
  <c r="C6" i="3"/>
  <c r="C5" i="3"/>
  <c r="C4" i="3"/>
  <c r="D234" i="4"/>
  <c r="D233" i="4"/>
  <c r="D232" i="4"/>
  <c r="D231" i="4"/>
  <c r="D230" i="4"/>
  <c r="D229" i="4"/>
  <c r="D228" i="4"/>
  <c r="D227" i="4"/>
  <c r="D226" i="4"/>
  <c r="D225" i="4"/>
  <c r="D224" i="4"/>
  <c r="D223" i="4"/>
  <c r="E222" i="4"/>
  <c r="D222" i="4"/>
  <c r="C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N26" i="3" l="1"/>
  <c r="AB456" i="2"/>
  <c r="AB424" i="2"/>
  <c r="AB408" i="2"/>
  <c r="AB392" i="2"/>
  <c r="AB376" i="2"/>
  <c r="AB360" i="2"/>
  <c r="AB344" i="2"/>
  <c r="AB336" i="2"/>
  <c r="AB224" i="2"/>
  <c r="AB208" i="2"/>
  <c r="AB192" i="2"/>
  <c r="AB176" i="2"/>
  <c r="AB160" i="2"/>
  <c r="AB144" i="2"/>
  <c r="AB136" i="2"/>
  <c r="AB128" i="2"/>
  <c r="AB112" i="2"/>
  <c r="AB104" i="2"/>
  <c r="AB96" i="2"/>
  <c r="AB80" i="2"/>
  <c r="AB72" i="2"/>
  <c r="AB64" i="2"/>
  <c r="J411" i="2"/>
  <c r="AB370" i="2"/>
  <c r="J371" i="2"/>
  <c r="J307" i="2"/>
  <c r="J299" i="2"/>
  <c r="J291" i="2"/>
  <c r="J283" i="2"/>
  <c r="J275" i="2"/>
  <c r="J267" i="2"/>
  <c r="J259" i="2"/>
  <c r="J251" i="2"/>
  <c r="J243" i="2"/>
  <c r="J235" i="2"/>
  <c r="J227" i="2"/>
  <c r="J219" i="2"/>
  <c r="J211" i="2"/>
  <c r="J203" i="2"/>
  <c r="J195" i="2"/>
  <c r="J187" i="2"/>
  <c r="J179" i="2"/>
  <c r="J171" i="2"/>
  <c r="J163" i="2"/>
  <c r="J155" i="2"/>
  <c r="J147" i="2"/>
  <c r="J139" i="2"/>
  <c r="J131" i="2"/>
  <c r="J123" i="2"/>
  <c r="J115" i="2"/>
  <c r="J107" i="2"/>
  <c r="J99" i="2"/>
  <c r="J91" i="2"/>
  <c r="J83" i="2"/>
  <c r="J75" i="2"/>
  <c r="J67" i="2"/>
  <c r="J59" i="2"/>
  <c r="J51" i="2"/>
  <c r="J43" i="2"/>
  <c r="J35" i="2"/>
  <c r="J27" i="2"/>
  <c r="J19" i="2"/>
  <c r="J11" i="2"/>
  <c r="J3" i="2"/>
  <c r="J370" i="2"/>
  <c r="J282" i="2"/>
  <c r="J258" i="2"/>
  <c r="J234" i="2"/>
  <c r="P461" i="2"/>
  <c r="P453" i="2"/>
  <c r="P445" i="2"/>
  <c r="P437" i="2"/>
  <c r="P429" i="2"/>
  <c r="P421" i="2"/>
  <c r="P413" i="2"/>
  <c r="P412" i="2"/>
  <c r="P349" i="2"/>
  <c r="P348" i="2"/>
  <c r="P285" i="2"/>
  <c r="P284" i="2"/>
  <c r="P157" i="2"/>
  <c r="P156" i="2"/>
  <c r="AB462" i="2"/>
  <c r="AB454" i="2"/>
  <c r="AB446" i="2"/>
  <c r="AB430" i="2"/>
  <c r="AB422" i="2"/>
  <c r="AB414" i="2"/>
  <c r="AB398" i="2"/>
  <c r="AB390" i="2"/>
  <c r="AB382" i="2"/>
  <c r="AB366" i="2"/>
  <c r="AB358" i="2"/>
  <c r="AB350" i="2"/>
  <c r="AB262" i="2"/>
  <c r="AB230" i="2"/>
  <c r="AB222" i="2"/>
  <c r="AB206" i="2"/>
  <c r="AB198" i="2"/>
  <c r="AB190" i="2"/>
  <c r="AB174" i="2"/>
  <c r="AB166" i="2"/>
  <c r="AB158" i="2"/>
  <c r="AB142" i="2"/>
  <c r="AB134" i="2"/>
  <c r="AB126" i="2"/>
  <c r="AB110" i="2"/>
  <c r="AB102" i="2"/>
  <c r="AB94" i="2"/>
  <c r="AB78" i="2"/>
  <c r="AB62" i="2"/>
  <c r="AB38" i="2"/>
  <c r="AB6" i="2"/>
  <c r="J362" i="2"/>
  <c r="J306" i="2"/>
  <c r="J274" i="2"/>
  <c r="J242" i="2"/>
  <c r="J210" i="2"/>
  <c r="J178" i="2"/>
  <c r="J106" i="2"/>
  <c r="J66" i="2"/>
  <c r="J42" i="2"/>
  <c r="J26" i="2"/>
  <c r="J10" i="2"/>
  <c r="AB352" i="2"/>
  <c r="AB2" i="2"/>
  <c r="J353" i="2"/>
  <c r="J145" i="2"/>
  <c r="J81" i="2"/>
  <c r="J41" i="2"/>
  <c r="J25" i="2"/>
  <c r="J9" i="2"/>
  <c r="J33" i="2"/>
  <c r="AB460" i="2"/>
  <c r="AB452" i="2"/>
  <c r="AB444" i="2"/>
  <c r="AB436" i="2"/>
  <c r="AB428" i="2"/>
  <c r="AB420" i="2"/>
  <c r="AB412" i="2"/>
  <c r="AB404" i="2"/>
  <c r="AB396" i="2"/>
  <c r="AB388" i="2"/>
  <c r="AB380" i="2"/>
  <c r="AB372" i="2"/>
  <c r="AB364" i="2"/>
  <c r="AB356" i="2"/>
  <c r="AB348" i="2"/>
  <c r="AB340" i="2"/>
  <c r="AB252" i="2"/>
  <c r="AB236" i="2"/>
  <c r="AB228" i="2"/>
  <c r="AB220" i="2"/>
  <c r="AB212" i="2"/>
  <c r="AB204" i="2"/>
  <c r="AB196" i="2"/>
  <c r="AB188" i="2"/>
  <c r="AB180" i="2"/>
  <c r="AB172" i="2"/>
  <c r="AB164" i="2"/>
  <c r="AB156" i="2"/>
  <c r="AB148" i="2"/>
  <c r="AB140" i="2"/>
  <c r="AB132" i="2"/>
  <c r="AB124" i="2"/>
  <c r="AB116" i="2"/>
  <c r="AB108" i="2"/>
  <c r="AB100" i="2"/>
  <c r="AB52" i="2"/>
  <c r="AB36" i="2"/>
  <c r="AB20" i="2"/>
  <c r="AB4" i="2"/>
  <c r="J443" i="2"/>
  <c r="J387" i="2"/>
  <c r="J8" i="2"/>
  <c r="J154" i="2"/>
  <c r="J82" i="2"/>
  <c r="J462" i="2"/>
  <c r="J454" i="2"/>
  <c r="J446" i="2"/>
  <c r="J438" i="2"/>
  <c r="J430" i="2"/>
  <c r="J422" i="2"/>
  <c r="J414" i="2"/>
  <c r="J406" i="2"/>
  <c r="J398" i="2"/>
  <c r="J390" i="2"/>
  <c r="J382" i="2"/>
  <c r="J374" i="2"/>
  <c r="J366" i="2"/>
  <c r="J358" i="2"/>
  <c r="J350" i="2"/>
  <c r="J342" i="2"/>
  <c r="J334" i="2"/>
  <c r="J326" i="2"/>
  <c r="J318" i="2"/>
  <c r="J310" i="2"/>
  <c r="J302" i="2"/>
  <c r="J294" i="2"/>
  <c r="J286" i="2"/>
  <c r="J278" i="2"/>
  <c r="J270" i="2"/>
  <c r="J262" i="2"/>
  <c r="J254" i="2"/>
  <c r="J246" i="2"/>
  <c r="J238" i="2"/>
  <c r="J230" i="2"/>
  <c r="J222" i="2"/>
  <c r="J214" i="2"/>
  <c r="J206" i="2"/>
  <c r="J198" i="2"/>
  <c r="J190" i="2"/>
  <c r="J182" i="2"/>
  <c r="J174" i="2"/>
  <c r="J166" i="2"/>
  <c r="J158" i="2"/>
  <c r="J150" i="2"/>
  <c r="J142" i="2"/>
  <c r="J134" i="2"/>
  <c r="J126" i="2"/>
  <c r="J118" i="2"/>
  <c r="J110" i="2"/>
  <c r="J102" i="2"/>
  <c r="J94" i="2"/>
  <c r="J86" i="2"/>
  <c r="J78" i="2"/>
  <c r="J70" i="2"/>
  <c r="J62" i="2"/>
  <c r="J54" i="2"/>
  <c r="J46" i="2"/>
  <c r="J38" i="2"/>
  <c r="J30" i="2"/>
  <c r="J22" i="2"/>
  <c r="J14" i="2"/>
  <c r="J6" i="2"/>
  <c r="J459" i="2"/>
  <c r="J395" i="2"/>
  <c r="J177" i="2"/>
  <c r="J298" i="2"/>
  <c r="J122" i="2"/>
  <c r="P359" i="2"/>
  <c r="P358" i="2"/>
  <c r="P220" i="2"/>
  <c r="W280" i="2"/>
  <c r="W279" i="2"/>
  <c r="P350" i="2"/>
  <c r="P342" i="2"/>
  <c r="P334" i="2"/>
  <c r="P326" i="2"/>
  <c r="P318" i="2"/>
  <c r="P310" i="2"/>
  <c r="P302" i="2"/>
  <c r="P286" i="2"/>
  <c r="P278" i="2"/>
  <c r="P270" i="2"/>
  <c r="P52" i="2"/>
  <c r="P460" i="2"/>
  <c r="P452" i="2"/>
  <c r="P444" i="2"/>
  <c r="P436" i="2"/>
  <c r="P428" i="2"/>
  <c r="P420" i="2"/>
  <c r="P404" i="2"/>
  <c r="P396" i="2"/>
  <c r="P388" i="2"/>
  <c r="P380" i="2"/>
  <c r="P372" i="2"/>
  <c r="P364" i="2"/>
  <c r="P356" i="2"/>
  <c r="P340" i="2"/>
  <c r="P332" i="2"/>
  <c r="P324" i="2"/>
  <c r="P316" i="2"/>
  <c r="P308" i="2"/>
  <c r="P300" i="2"/>
  <c r="P292" i="2"/>
  <c r="P276" i="2"/>
  <c r="P268" i="2"/>
  <c r="P260" i="2"/>
  <c r="P252" i="2"/>
  <c r="P244" i="2"/>
  <c r="P236" i="2"/>
  <c r="P228" i="2"/>
  <c r="P212" i="2"/>
  <c r="P204" i="2"/>
  <c r="P196" i="2"/>
  <c r="P188" i="2"/>
  <c r="P180" i="2"/>
  <c r="P172" i="2"/>
  <c r="P164" i="2"/>
  <c r="P148" i="2"/>
  <c r="P140" i="2"/>
  <c r="P132" i="2"/>
  <c r="P124" i="2"/>
  <c r="P108" i="2"/>
  <c r="P100" i="2"/>
  <c r="P92" i="2"/>
  <c r="P76" i="2"/>
  <c r="P68" i="2"/>
  <c r="P60" i="2"/>
  <c r="P44" i="2"/>
  <c r="P36" i="2"/>
  <c r="P28" i="2"/>
  <c r="P12" i="2"/>
  <c r="P116" i="2"/>
  <c r="P20" i="2"/>
  <c r="P8" i="2"/>
  <c r="W343" i="2"/>
  <c r="P91" i="2"/>
  <c r="P83" i="2"/>
  <c r="P75" i="2"/>
  <c r="P67" i="2"/>
  <c r="P59" i="2"/>
  <c r="P51" i="2"/>
  <c r="P43" i="2"/>
  <c r="P35" i="2"/>
  <c r="P27" i="2"/>
  <c r="P19" i="2"/>
  <c r="P11" i="2"/>
  <c r="P3" i="2"/>
  <c r="P16" i="2"/>
  <c r="P152" i="2"/>
  <c r="W455" i="2"/>
  <c r="W447" i="2"/>
  <c r="W439" i="2"/>
  <c r="W431" i="2"/>
  <c r="W423" i="2"/>
  <c r="W415" i="2"/>
  <c r="W407" i="2"/>
  <c r="W399" i="2"/>
  <c r="W391" i="2"/>
  <c r="W383" i="2"/>
  <c r="W375" i="2"/>
  <c r="W367" i="2"/>
  <c r="W359" i="2"/>
  <c r="W351" i="2"/>
  <c r="W335" i="2"/>
  <c r="W327" i="2"/>
  <c r="W319" i="2"/>
  <c r="W311" i="2"/>
  <c r="W303" i="2"/>
  <c r="W295" i="2"/>
  <c r="W287" i="2"/>
  <c r="W271" i="2"/>
  <c r="W263" i="2"/>
  <c r="W255" i="2"/>
  <c r="W247" i="2"/>
  <c r="W239" i="2"/>
  <c r="W231" i="2"/>
  <c r="W223" i="2"/>
  <c r="W298" i="2"/>
  <c r="W196" i="2"/>
  <c r="W460" i="2"/>
  <c r="W452" i="2"/>
  <c r="W444" i="2"/>
  <c r="W436" i="2"/>
  <c r="W428" i="2"/>
  <c r="W420" i="2"/>
  <c r="W412" i="2"/>
  <c r="W404" i="2"/>
  <c r="W396" i="2"/>
  <c r="W388" i="2"/>
  <c r="W380" i="2"/>
  <c r="W372" i="2"/>
  <c r="W364" i="2"/>
  <c r="W356" i="2"/>
  <c r="W348" i="2"/>
  <c r="W340" i="2"/>
  <c r="W332" i="2"/>
  <c r="W324" i="2"/>
  <c r="W308" i="2"/>
  <c r="W300" i="2"/>
  <c r="W292" i="2"/>
  <c r="W284" i="2"/>
  <c r="W276" i="2"/>
  <c r="W268" i="2"/>
  <c r="W260" i="2"/>
  <c r="W252" i="2"/>
  <c r="W244" i="2"/>
  <c r="W236" i="2"/>
  <c r="W228" i="2"/>
  <c r="W220" i="2"/>
  <c r="W212" i="2"/>
  <c r="W204" i="2"/>
  <c r="W188" i="2"/>
  <c r="W180" i="2"/>
  <c r="W172" i="2"/>
  <c r="W164" i="2"/>
  <c r="W156" i="2"/>
  <c r="W154" i="2"/>
  <c r="W458" i="2"/>
  <c r="W450" i="2"/>
  <c r="W442" i="2"/>
  <c r="W434" i="2"/>
  <c r="W426" i="2"/>
  <c r="W418" i="2"/>
  <c r="W410" i="2"/>
  <c r="W402" i="2"/>
  <c r="W394" i="2"/>
  <c r="W386" i="2"/>
  <c r="W378" i="2"/>
  <c r="W370" i="2"/>
  <c r="W354" i="2"/>
  <c r="W346" i="2"/>
  <c r="W338" i="2"/>
  <c r="W330" i="2"/>
  <c r="W322" i="2"/>
  <c r="W314" i="2"/>
  <c r="W306" i="2"/>
  <c r="W290" i="2"/>
  <c r="W282" i="2"/>
  <c r="W274" i="2"/>
  <c r="W266" i="2"/>
  <c r="W258" i="2"/>
  <c r="W250" i="2"/>
  <c r="W242" i="2"/>
  <c r="W234" i="2"/>
  <c r="W226" i="2"/>
  <c r="W218" i="2"/>
  <c r="W210" i="2"/>
  <c r="W202" i="2"/>
  <c r="W194" i="2"/>
  <c r="W186" i="2"/>
  <c r="W178" i="2"/>
  <c r="W170" i="2"/>
  <c r="W162" i="2"/>
  <c r="W146" i="2"/>
  <c r="W138" i="2"/>
  <c r="W130" i="2"/>
  <c r="W122" i="2"/>
  <c r="W457" i="2"/>
  <c r="W449" i="2"/>
  <c r="W441" i="2"/>
  <c r="W433" i="2"/>
  <c r="W425" i="2"/>
  <c r="W417" i="2"/>
  <c r="W409" i="2"/>
  <c r="W401" i="2"/>
  <c r="W393" i="2"/>
  <c r="W385" i="2"/>
  <c r="W377" i="2"/>
  <c r="W369" i="2"/>
  <c r="W361" i="2"/>
  <c r="W353" i="2"/>
  <c r="W345" i="2"/>
  <c r="W337" i="2"/>
  <c r="W90" i="2"/>
  <c r="W148" i="2"/>
  <c r="W140" i="2"/>
  <c r="W132" i="2"/>
  <c r="W124" i="2"/>
  <c r="W116" i="2"/>
  <c r="W108" i="2"/>
  <c r="W100" i="2"/>
  <c r="W92" i="2"/>
  <c r="W84" i="2"/>
  <c r="W76" i="2"/>
  <c r="W68" i="2"/>
  <c r="W60" i="2"/>
  <c r="W52" i="2"/>
  <c r="W44" i="2"/>
  <c r="W36" i="2"/>
  <c r="W28" i="2"/>
  <c r="W20" i="2"/>
  <c r="W12" i="2"/>
  <c r="W4" i="2"/>
  <c r="W329" i="2"/>
  <c r="W321" i="2"/>
  <c r="W313" i="2"/>
  <c r="W305" i="2"/>
  <c r="W297" i="2"/>
  <c r="W289" i="2"/>
  <c r="W281" i="2"/>
  <c r="W273" i="2"/>
  <c r="W265" i="2"/>
  <c r="W257" i="2"/>
  <c r="W249" i="2"/>
  <c r="W241" i="2"/>
  <c r="W233" i="2"/>
  <c r="W225" i="2"/>
  <c r="W217" i="2"/>
  <c r="W209" i="2"/>
  <c r="W201" i="2"/>
  <c r="W193" i="2"/>
  <c r="W185" i="2"/>
  <c r="W177" i="2"/>
  <c r="W169" i="2"/>
  <c r="W161" i="2"/>
  <c r="W153" i="2"/>
  <c r="W145" i="2"/>
  <c r="W137" i="2"/>
  <c r="W129" i="2"/>
  <c r="W121" i="2"/>
  <c r="W113" i="2"/>
  <c r="W105" i="2"/>
  <c r="W97" i="2"/>
  <c r="W89" i="2"/>
  <c r="W81" i="2"/>
  <c r="W73" i="2"/>
  <c r="W65" i="2"/>
  <c r="W57" i="2"/>
  <c r="W49" i="2"/>
  <c r="W41" i="2"/>
  <c r="W33" i="2"/>
  <c r="W25" i="2"/>
  <c r="W17" i="2"/>
  <c r="W9" i="2"/>
  <c r="W215" i="2"/>
  <c r="W207" i="2"/>
  <c r="W199" i="2"/>
  <c r="W191" i="2"/>
  <c r="W183" i="2"/>
  <c r="W175" i="2"/>
  <c r="W167" i="2"/>
  <c r="W159" i="2"/>
  <c r="W151" i="2"/>
  <c r="W143" i="2"/>
  <c r="W135" i="2"/>
  <c r="W127" i="2"/>
  <c r="W119" i="2"/>
  <c r="W111" i="2"/>
  <c r="W103" i="2"/>
  <c r="W95" i="2"/>
  <c r="W87" i="2"/>
  <c r="W79" i="2"/>
  <c r="W71" i="2"/>
  <c r="W63" i="2"/>
  <c r="W55" i="2"/>
  <c r="W47" i="2"/>
  <c r="W39" i="2"/>
  <c r="W31" i="2"/>
  <c r="W23" i="2"/>
  <c r="W15" i="2"/>
  <c r="W7" i="2"/>
  <c r="C10" i="3"/>
  <c r="E3" i="4"/>
  <c r="E23" i="4"/>
  <c r="E39" i="4"/>
  <c r="E55" i="4"/>
  <c r="E65" i="4"/>
  <c r="E47" i="4"/>
  <c r="E59" i="4"/>
  <c r="E50" i="4"/>
  <c r="E63" i="4"/>
  <c r="E72" i="4"/>
  <c r="E4" i="4"/>
  <c r="E20" i="4"/>
  <c r="E67" i="4"/>
  <c r="E7" i="4"/>
  <c r="E15" i="4"/>
  <c r="E31" i="4"/>
  <c r="E38" i="4"/>
  <c r="E53" i="4"/>
  <c r="E57" i="4"/>
  <c r="E46" i="4"/>
  <c r="E35" i="4"/>
  <c r="E61" i="4"/>
  <c r="E71" i="4"/>
  <c r="E94" i="4"/>
  <c r="E125" i="4"/>
  <c r="E127" i="4"/>
  <c r="E52" i="4"/>
  <c r="E56" i="4"/>
  <c r="E60" i="4"/>
  <c r="E64" i="4"/>
  <c r="E68" i="4"/>
  <c r="E97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9" i="4"/>
  <c r="Q6" i="3"/>
  <c r="E100" i="4"/>
  <c r="E128" i="4"/>
  <c r="O4" i="3"/>
  <c r="Q4" i="3"/>
  <c r="N5" i="3"/>
  <c r="E95" i="4"/>
  <c r="E120" i="4"/>
  <c r="E98" i="4"/>
  <c r="E54" i="4"/>
  <c r="E58" i="4"/>
  <c r="E62" i="4"/>
  <c r="E66" i="4"/>
  <c r="E74" i="4"/>
  <c r="E76" i="4"/>
  <c r="E78" i="4"/>
  <c r="E80" i="4"/>
  <c r="E82" i="4"/>
  <c r="E84" i="4"/>
  <c r="E86" i="4"/>
  <c r="E88" i="4"/>
  <c r="E90" i="4"/>
  <c r="E92" i="4"/>
  <c r="E93" i="4"/>
  <c r="E101" i="4"/>
  <c r="D27" i="3"/>
  <c r="C27" i="3"/>
  <c r="E69" i="4"/>
  <c r="E96" i="4"/>
  <c r="M4" i="3"/>
  <c r="L4" i="3"/>
  <c r="K4" i="3"/>
  <c r="C3" i="4"/>
  <c r="R4" i="3"/>
  <c r="N4" i="3"/>
  <c r="E99" i="4"/>
  <c r="E102" i="4"/>
  <c r="E133" i="4"/>
  <c r="E172" i="4"/>
  <c r="E170" i="4"/>
  <c r="E181" i="4"/>
  <c r="E173" i="4"/>
  <c r="E184" i="4"/>
  <c r="E187" i="4"/>
  <c r="E171" i="4"/>
  <c r="E189" i="4"/>
  <c r="E176" i="4"/>
  <c r="E179" i="4"/>
  <c r="E204" i="4"/>
  <c r="E206" i="4"/>
  <c r="E208" i="4"/>
  <c r="E210" i="4"/>
  <c r="E212" i="4"/>
  <c r="E214" i="4"/>
  <c r="E230" i="4"/>
  <c r="E177" i="4"/>
  <c r="E185" i="4"/>
  <c r="E193" i="4"/>
  <c r="E201" i="4"/>
  <c r="E219" i="4"/>
  <c r="E224" i="4"/>
  <c r="E228" i="4"/>
  <c r="E215" i="4"/>
  <c r="E174" i="4"/>
  <c r="E182" i="4"/>
  <c r="E192" i="4"/>
  <c r="E205" i="4"/>
  <c r="E207" i="4"/>
  <c r="E209" i="4"/>
  <c r="E211" i="4"/>
  <c r="E213" i="4"/>
  <c r="E217" i="4"/>
  <c r="E218" i="4"/>
  <c r="E223" i="4"/>
  <c r="E227" i="4"/>
  <c r="E197" i="4"/>
  <c r="E180" i="4"/>
  <c r="E188" i="4"/>
  <c r="E194" i="4"/>
  <c r="E202" i="4"/>
  <c r="E232" i="4"/>
  <c r="E216" i="4"/>
  <c r="E221" i="4"/>
  <c r="E226" i="4"/>
  <c r="E229" i="4"/>
  <c r="E220" i="4"/>
  <c r="E225" i="4"/>
  <c r="E234" i="4"/>
  <c r="E231" i="4"/>
  <c r="E233" i="4"/>
  <c r="AB68" i="2" l="1"/>
  <c r="E36" i="4"/>
  <c r="AB260" i="2"/>
  <c r="E132" i="4"/>
  <c r="AB292" i="2"/>
  <c r="E148" i="4"/>
  <c r="AB324" i="2"/>
  <c r="E164" i="4"/>
  <c r="AB70" i="2"/>
  <c r="E37" i="4"/>
  <c r="AB294" i="2"/>
  <c r="E149" i="4"/>
  <c r="AB326" i="2"/>
  <c r="E165" i="4"/>
  <c r="AB8" i="2"/>
  <c r="E6" i="4"/>
  <c r="AB40" i="2"/>
  <c r="E22" i="4"/>
  <c r="AB168" i="2"/>
  <c r="AB200" i="2"/>
  <c r="AB232" i="2"/>
  <c r="AB264" i="2"/>
  <c r="AB296" i="2"/>
  <c r="E150" i="4"/>
  <c r="AB328" i="2"/>
  <c r="E166" i="4"/>
  <c r="AB368" i="2"/>
  <c r="AB400" i="2"/>
  <c r="AB432" i="2"/>
  <c r="AB34" i="2"/>
  <c r="AB66" i="2"/>
  <c r="AB98" i="2"/>
  <c r="E51" i="4"/>
  <c r="AB130" i="2"/>
  <c r="AB162" i="2"/>
  <c r="AB194" i="2"/>
  <c r="AB226" i="2"/>
  <c r="AB258" i="2"/>
  <c r="E131" i="4"/>
  <c r="AB290" i="2"/>
  <c r="E147" i="4"/>
  <c r="AB322" i="2"/>
  <c r="E163" i="4"/>
  <c r="AB354" i="2"/>
  <c r="AB394" i="2"/>
  <c r="AB426" i="2"/>
  <c r="AB458" i="2"/>
  <c r="AB12" i="2"/>
  <c r="E8" i="4"/>
  <c r="AB44" i="2"/>
  <c r="E24" i="4"/>
  <c r="AB76" i="2"/>
  <c r="E40" i="4"/>
  <c r="AB268" i="2"/>
  <c r="E136" i="4"/>
  <c r="AB300" i="2"/>
  <c r="E152" i="4"/>
  <c r="AB332" i="2"/>
  <c r="E168" i="4"/>
  <c r="AB14" i="2"/>
  <c r="E9" i="4"/>
  <c r="AB46" i="2"/>
  <c r="E25" i="4"/>
  <c r="AB238" i="2"/>
  <c r="E121" i="4"/>
  <c r="AB270" i="2"/>
  <c r="E137" i="4"/>
  <c r="AB302" i="2"/>
  <c r="E153" i="4"/>
  <c r="AB334" i="2"/>
  <c r="E169" i="4"/>
  <c r="AB16" i="2"/>
  <c r="E10" i="4"/>
  <c r="AB48" i="2"/>
  <c r="E26" i="4"/>
  <c r="AB240" i="2"/>
  <c r="E122" i="4"/>
  <c r="AB272" i="2"/>
  <c r="E138" i="4"/>
  <c r="AB304" i="2"/>
  <c r="E154" i="4"/>
  <c r="AB440" i="2"/>
  <c r="AB10" i="2"/>
  <c r="AB42" i="2"/>
  <c r="AB74" i="2"/>
  <c r="AB106" i="2"/>
  <c r="AB138" i="2"/>
  <c r="AB170" i="2"/>
  <c r="AB202" i="2"/>
  <c r="AB234" i="2"/>
  <c r="AB266" i="2"/>
  <c r="AB298" i="2"/>
  <c r="E151" i="4"/>
  <c r="AB330" i="2"/>
  <c r="E167" i="4"/>
  <c r="AB362" i="2"/>
  <c r="AB402" i="2"/>
  <c r="AB434" i="2"/>
  <c r="AB84" i="2"/>
  <c r="E44" i="4"/>
  <c r="AB244" i="2"/>
  <c r="E124" i="4"/>
  <c r="AB276" i="2"/>
  <c r="E140" i="4"/>
  <c r="AB308" i="2"/>
  <c r="E156" i="4"/>
  <c r="AB22" i="2"/>
  <c r="AB54" i="2"/>
  <c r="AB86" i="2"/>
  <c r="E45" i="4"/>
  <c r="AB118" i="2"/>
  <c r="AB150" i="2"/>
  <c r="AB182" i="2"/>
  <c r="AB214" i="2"/>
  <c r="AB246" i="2"/>
  <c r="AB278" i="2"/>
  <c r="E141" i="4"/>
  <c r="AB310" i="2"/>
  <c r="E157" i="4"/>
  <c r="AB342" i="2"/>
  <c r="AB374" i="2"/>
  <c r="AB406" i="2"/>
  <c r="AB438" i="2"/>
  <c r="AB24" i="2"/>
  <c r="E14" i="4"/>
  <c r="AB56" i="2"/>
  <c r="E30" i="4"/>
  <c r="AB88" i="2"/>
  <c r="AB120" i="2"/>
  <c r="AB152" i="2"/>
  <c r="AB184" i="2"/>
  <c r="AB216" i="2"/>
  <c r="AB248" i="2"/>
  <c r="AB280" i="2"/>
  <c r="E142" i="4"/>
  <c r="AB312" i="2"/>
  <c r="E158" i="4"/>
  <c r="AB384" i="2"/>
  <c r="AB416" i="2"/>
  <c r="AB448" i="2"/>
  <c r="AB18" i="2"/>
  <c r="AB50" i="2"/>
  <c r="AB82" i="2"/>
  <c r="E43" i="4"/>
  <c r="AB114" i="2"/>
  <c r="AB146" i="2"/>
  <c r="AB178" i="2"/>
  <c r="AB210" i="2"/>
  <c r="AB242" i="2"/>
  <c r="E123" i="4"/>
  <c r="AB274" i="2"/>
  <c r="E139" i="4"/>
  <c r="AB306" i="2"/>
  <c r="E155" i="4"/>
  <c r="AB338" i="2"/>
  <c r="AB378" i="2"/>
  <c r="AB410" i="2"/>
  <c r="AB442" i="2"/>
  <c r="AB28" i="2"/>
  <c r="E16" i="4"/>
  <c r="AB60" i="2"/>
  <c r="E32" i="4"/>
  <c r="AB92" i="2"/>
  <c r="E48" i="4"/>
  <c r="AB284" i="2"/>
  <c r="E144" i="4"/>
  <c r="AB316" i="2"/>
  <c r="E160" i="4"/>
  <c r="AB30" i="2"/>
  <c r="E17" i="4"/>
  <c r="AB254" i="2"/>
  <c r="E129" i="4"/>
  <c r="AB286" i="2"/>
  <c r="E145" i="4"/>
  <c r="AB318" i="2"/>
  <c r="E161" i="4"/>
  <c r="AB32" i="2"/>
  <c r="E18" i="4"/>
  <c r="AB256" i="2"/>
  <c r="E130" i="4"/>
  <c r="AB288" i="2"/>
  <c r="E146" i="4"/>
  <c r="AB320" i="2"/>
  <c r="E162" i="4"/>
  <c r="AB26" i="2"/>
  <c r="AB58" i="2"/>
  <c r="AB90" i="2"/>
  <c r="AB122" i="2"/>
  <c r="AB154" i="2"/>
  <c r="AB186" i="2"/>
  <c r="AB218" i="2"/>
  <c r="AB250" i="2"/>
  <c r="AB282" i="2"/>
  <c r="E143" i="4"/>
  <c r="AB314" i="2"/>
  <c r="E159" i="4"/>
  <c r="AB346" i="2"/>
  <c r="AB386" i="2"/>
  <c r="AB418" i="2"/>
  <c r="AB450" i="2"/>
  <c r="E199" i="4"/>
  <c r="E200" i="4"/>
  <c r="E198" i="4"/>
  <c r="E178" i="4"/>
  <c r="E183" i="4"/>
  <c r="E41" i="4"/>
  <c r="E27" i="4"/>
  <c r="E12" i="4"/>
  <c r="E85" i="4"/>
  <c r="E77" i="4"/>
  <c r="E21" i="4"/>
  <c r="E5" i="4"/>
  <c r="E91" i="4"/>
  <c r="E83" i="4"/>
  <c r="E75" i="4"/>
  <c r="O6" i="3"/>
  <c r="N6" i="3"/>
  <c r="K6" i="3"/>
  <c r="E87" i="4"/>
  <c r="E79" i="4"/>
  <c r="R6" i="3"/>
  <c r="E191" i="4"/>
  <c r="E196" i="4"/>
  <c r="E134" i="4"/>
  <c r="E118" i="4"/>
  <c r="E135" i="4"/>
  <c r="E70" i="4"/>
  <c r="E42" i="4"/>
  <c r="E203" i="4"/>
  <c r="E190" i="4"/>
  <c r="E33" i="4"/>
  <c r="E19" i="4"/>
  <c r="E195" i="4"/>
  <c r="E186" i="4"/>
  <c r="E175" i="4"/>
  <c r="E126" i="4"/>
  <c r="M5" i="3"/>
  <c r="L5" i="3"/>
  <c r="K5" i="3"/>
  <c r="O5" i="3"/>
  <c r="Q5" i="3"/>
  <c r="R5" i="3"/>
  <c r="E49" i="4"/>
  <c r="E34" i="4"/>
  <c r="E11" i="4"/>
  <c r="E28" i="4"/>
  <c r="E89" i="4"/>
  <c r="E81" i="4"/>
  <c r="E29" i="4"/>
  <c r="E13" i="4"/>
  <c r="L6" i="3"/>
  <c r="E73" i="4"/>
  <c r="M6" i="3"/>
</calcChain>
</file>

<file path=xl/sharedStrings.xml><?xml version="1.0" encoding="utf-8"?>
<sst xmlns="http://schemas.openxmlformats.org/spreadsheetml/2006/main" count="2204" uniqueCount="354">
  <si>
    <t>Aim</t>
  </si>
  <si>
    <t>name</t>
  </si>
  <si>
    <t>region</t>
  </si>
  <si>
    <t>year</t>
  </si>
  <si>
    <t>Data Dictionary</t>
  </si>
  <si>
    <t>year_difference</t>
  </si>
  <si>
    <t>ARC_n</t>
  </si>
  <si>
    <t>pop_n</t>
  </si>
  <si>
    <t>The national population size estimate, in thousands.</t>
  </si>
  <si>
    <t>pop_u</t>
  </si>
  <si>
    <t>wat_bas_n</t>
  </si>
  <si>
    <t>wat base_n_ rounded</t>
  </si>
  <si>
    <t>wat base n_access</t>
  </si>
  <si>
    <t>wat_lim_n</t>
  </si>
  <si>
    <t>pop_r</t>
  </si>
  <si>
    <t>wat_unimp_n</t>
  </si>
  <si>
    <t>wat_sur_n</t>
  </si>
  <si>
    <t>ARC</t>
  </si>
  <si>
    <t>wat_bas_r</t>
  </si>
  <si>
    <t>wat _bas_r_round</t>
  </si>
  <si>
    <t>wat_bas_r_access</t>
  </si>
  <si>
    <t>Arc R</t>
  </si>
  <si>
    <t>wat_lim_r</t>
  </si>
  <si>
    <t>ARC_u</t>
  </si>
  <si>
    <t>wat_unimp_r</t>
  </si>
  <si>
    <t>wat_sur_r</t>
  </si>
  <si>
    <t>ARC_r</t>
  </si>
  <si>
    <t>wat_bas_u</t>
  </si>
  <si>
    <t>wat_bas_u_round</t>
  </si>
  <si>
    <t>wat_bas_u_access</t>
  </si>
  <si>
    <t>Arc U</t>
  </si>
  <si>
    <t>wat_unimp_u</t>
  </si>
  <si>
    <t>wat_lim_u</t>
  </si>
  <si>
    <t>wat_sur_u</t>
  </si>
  <si>
    <t>ARC difference</t>
  </si>
  <si>
    <t>The estimated rural share of people with unimproved service (%).</t>
  </si>
  <si>
    <t>The estimated urban share of people with surface service (%).</t>
  </si>
  <si>
    <t>The estimated rural share of people with surface service (%).</t>
  </si>
  <si>
    <t>The estimated national share of people with at least basic service (%).</t>
  </si>
  <si>
    <t>The estimated rural share of people with at least basic service (%).</t>
  </si>
  <si>
    <t>Afghanistan</t>
  </si>
  <si>
    <t xml:space="preserve">Key Findings </t>
  </si>
  <si>
    <t>Albania</t>
  </si>
  <si>
    <t>Algeria</t>
  </si>
  <si>
    <t>American Samoa</t>
  </si>
  <si>
    <t>null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</si>
  <si>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</si>
  <si>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</si>
  <si>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</si>
  <si>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</si>
  <si>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</si>
  <si>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</si>
  <si>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</si>
  <si>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</si>
  <si>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</si>
  <si>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</si>
  <si>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</si>
  <si>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</si>
  <si>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</si>
  <si>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</si>
  <si>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</si>
  <si>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</si>
  <si>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</si>
  <si>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</si>
  <si>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</si>
  <si>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</si>
  <si>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</si>
  <si>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</si>
  <si>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</si>
  <si>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</si>
  <si>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</si>
  <si>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</si>
  <si>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</si>
  <si>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</si>
  <si>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</si>
  <si>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</si>
  <si>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</si>
  <si>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</si>
  <si>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</si>
  <si>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</si>
  <si>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</si>
  <si>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</si>
  <si>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</si>
  <si>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</si>
  <si>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</si>
  <si>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</si>
  <si>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</si>
  <si>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</si>
  <si>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</si>
  <si>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</si>
  <si>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</si>
  <si>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</si>
  <si>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</si>
  <si>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</si>
  <si>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</si>
  <si>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</si>
  <si>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</si>
  <si>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</si>
  <si>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</si>
  <si>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</si>
  <si>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</si>
  <si>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</si>
  <si>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</si>
  <si>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</si>
  <si>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</si>
  <si>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</si>
  <si>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</si>
  <si>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</si>
  <si>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</si>
  <si>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</si>
  <si>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</si>
  <si>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</si>
  <si>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</si>
  <si>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</si>
  <si>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</si>
  <si>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</si>
  <si>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</si>
  <si>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</si>
  <si>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</si>
  <si>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</si>
  <si>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</si>
  <si>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</si>
  <si>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</si>
  <si>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</si>
  <si>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</si>
  <si>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</si>
  <si>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</si>
  <si>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</si>
  <si>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</si>
  <si>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</si>
  <si>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</si>
  <si>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</si>
  <si>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</si>
  <si>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</si>
  <si>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</si>
  <si>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</si>
  <si>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</si>
  <si>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</si>
  <si>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</si>
  <si>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Arc n</t>
  </si>
  <si>
    <t>Indonesia</t>
  </si>
  <si>
    <t>pop n</t>
  </si>
  <si>
    <t>Arc r</t>
  </si>
  <si>
    <t>South Asia</t>
  </si>
  <si>
    <t>Europe &amp; Central Asia</t>
  </si>
  <si>
    <t>Middle East &amp; North Africa</t>
  </si>
  <si>
    <t>Iran (Islamic Republic of)</t>
  </si>
  <si>
    <t>East Asia &amp; Pacific</t>
  </si>
  <si>
    <t>Sub-Saharan Africa</t>
  </si>
  <si>
    <t>Iraq</t>
  </si>
  <si>
    <t>Latin America &amp; Caribbean</t>
  </si>
  <si>
    <t>Ireland</t>
  </si>
  <si>
    <t>Isle of Man</t>
  </si>
  <si>
    <t>Israel</t>
  </si>
  <si>
    <t>Italy</t>
  </si>
  <si>
    <t>North America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</si>
  <si>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</si>
  <si>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</si>
  <si>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</si>
  <si>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</si>
  <si>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</si>
  <si>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</si>
  <si>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</si>
  <si>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</si>
  <si>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</si>
  <si>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</si>
  <si>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</si>
  <si>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</si>
  <si>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</si>
  <si>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</si>
  <si>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</si>
  <si>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</si>
  <si>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</si>
  <si>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</si>
  <si>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</si>
  <si>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</si>
  <si>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</si>
  <si>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</si>
  <si>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</si>
  <si>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</si>
  <si>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</si>
  <si>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</si>
  <si>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</si>
  <si>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</si>
  <si>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</si>
  <si>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</si>
  <si>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</si>
  <si>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</si>
  <si>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</si>
  <si>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</si>
  <si>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</si>
  <si>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</si>
  <si>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</si>
  <si>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</si>
  <si>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</si>
  <si>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</si>
  <si>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</si>
  <si>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</si>
  <si>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</si>
  <si>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</si>
  <si>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</si>
  <si>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</si>
  <si>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</si>
  <si>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</si>
  <si>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</si>
  <si>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</si>
  <si>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</si>
  <si>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</si>
  <si>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</si>
  <si>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</si>
  <si>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</si>
  <si>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</si>
  <si>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</si>
  <si>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</si>
  <si>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</si>
  <si>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</si>
  <si>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</si>
  <si>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</si>
  <si>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</si>
  <si>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</si>
  <si>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</si>
  <si>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</si>
  <si>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</si>
  <si>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</si>
  <si>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</si>
  <si>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</si>
  <si>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</si>
  <si>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</si>
  <si>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</si>
  <si>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</si>
  <si>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</si>
  <si>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</si>
  <si>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</si>
  <si>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</si>
  <si>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</si>
  <si>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</si>
  <si>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</si>
  <si>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</si>
  <si>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</si>
  <si>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</si>
  <si>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</si>
  <si>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</si>
  <si>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</si>
  <si>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</si>
  <si>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</si>
  <si>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</si>
  <si>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</si>
  <si>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</si>
  <si>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</si>
  <si>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</si>
  <si>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</si>
  <si>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</si>
  <si>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</si>
  <si>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</si>
  <si>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</si>
  <si>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</si>
  <si>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</si>
  <si>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</si>
  <si>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</si>
  <si>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</si>
  <si>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</si>
  <si>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</si>
  <si>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</si>
  <si>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</si>
  <si>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</si>
  <si>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</si>
  <si>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</si>
  <si>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</si>
  <si>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</si>
  <si>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</si>
  <si>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</si>
  <si>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</si>
  <si>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</si>
  <si>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</si>
  <si>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</si>
  <si>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</si>
  <si>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</si>
  <si>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</si>
  <si>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</si>
  <si>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</si>
  <si>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</si>
  <si>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</si>
  <si>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</si>
  <si>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</si>
  <si>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&lt;1</t>
  </si>
  <si>
    <t>Average year dif</t>
  </si>
  <si>
    <t>Minimum Year diff</t>
  </si>
  <si>
    <t>Maximum year diff</t>
  </si>
  <si>
    <t>Feature</t>
  </si>
  <si>
    <t>Min</t>
  </si>
  <si>
    <t>Average</t>
  </si>
  <si>
    <t>Max</t>
  </si>
  <si>
    <t>Full Access</t>
  </si>
  <si>
    <t>ARC = 0 (-full access)</t>
  </si>
  <si>
    <t>ARC &lt; 0</t>
  </si>
  <si>
    <t>ARC &gt; 0</t>
  </si>
  <si>
    <t>No Value</t>
  </si>
  <si>
    <t>Arc_n</t>
  </si>
  <si>
    <t>Arc_u</t>
  </si>
  <si>
    <t>Arc_r</t>
  </si>
  <si>
    <t>Region</t>
  </si>
  <si>
    <t>No. of Countries</t>
  </si>
  <si>
    <t>Avg ARC_n</t>
  </si>
  <si>
    <t>Avg ARC_u</t>
  </si>
  <si>
    <t>Avg ARC_r</t>
  </si>
  <si>
    <t>Year</t>
  </si>
  <si>
    <t>Count of records</t>
  </si>
  <si>
    <t>Total</t>
  </si>
  <si>
    <t>Bin</t>
  </si>
  <si>
    <t>Lower</t>
  </si>
  <si>
    <t>Upper</t>
  </si>
  <si>
    <t>Count of countries</t>
  </si>
  <si>
    <t>-3.0 to -2.5</t>
  </si>
  <si>
    <t>-2.5 to -2.0</t>
  </si>
  <si>
    <t>-2.0 to -1.5</t>
  </si>
  <si>
    <t>-1.5 to -1.0</t>
  </si>
  <si>
    <t>-1.0 to -0.5</t>
  </si>
  <si>
    <t>-0.5 to 0.0</t>
  </si>
  <si>
    <t>0.0 to 0.5</t>
  </si>
  <si>
    <t>0.5 to 1.0</t>
  </si>
  <si>
    <t>1.0 to 1.5</t>
  </si>
  <si>
    <t>1.5 to 2.0</t>
  </si>
  <si>
    <t>2.0 to 2.5</t>
  </si>
  <si>
    <t>2.5 to 3.0</t>
  </si>
  <si>
    <t>country</t>
  </si>
  <si>
    <t>All countries + Regions</t>
  </si>
  <si>
    <t>How frequently was water access data collected across countries?</t>
  </si>
  <si>
    <t>How does the annual rate of change in water access differ between rural and urban populations?</t>
  </si>
  <si>
    <t>How does the rate of change in water access vary across regions and population sizes?</t>
  </si>
  <si>
    <t>1a</t>
  </si>
  <si>
    <t>During which years was water access data recorded?</t>
  </si>
  <si>
    <t>1b</t>
  </si>
  <si>
    <t>What is the average number of years between data collections per country?</t>
  </si>
  <si>
    <t>2a</t>
  </si>
  <si>
    <t>What is the minimum, maximum and average annual rate of change in water access for national, urban and rural populations?</t>
  </si>
  <si>
    <t>2b</t>
  </si>
  <si>
    <t>3a</t>
  </si>
  <si>
    <t>3b</t>
  </si>
  <si>
    <t>How do national and rural rates of change compare across regions and population sizes?</t>
  </si>
  <si>
    <t>Questions</t>
  </si>
  <si>
    <t>Data was collected between 2015 and 2020 with an average year difference of 4.8, with most countries having a 5 year difference and a few between 1 and 4. Different collection periods demand use of annual rates of change to compare countries fairly.</t>
  </si>
  <si>
    <t>Rural water access improved faster than urban access, averaging 0.48 against 0.15 percentage points per year. The higher rural rate reflects that rural areas start at a lower base.</t>
  </si>
  <si>
    <t>Sub-Saharan Africa improved fastest at 0.56 percentage points per year, while Europe &amp; Central Asia and North America barely changed. These regions are already near full access, so a low rate reflects little room to improve rather than poor performance.</t>
  </si>
  <si>
    <t>Investigate access to safe and affordable drinking water.</t>
  </si>
  <si>
    <t>The urban population share estimate in percentage points (%).</t>
  </si>
  <si>
    <t>The rural population share estimate in percentage points (%).</t>
  </si>
  <si>
    <t>Annual rate of change. This is the yearly change of access to water in percentage points.</t>
  </si>
  <si>
    <t>The national Annual Rate of Change.</t>
  </si>
  <si>
    <t>The urban Annual Rate of Change.</t>
  </si>
  <si>
    <t>The rural Annual Rate of Change.</t>
  </si>
  <si>
    <t>The estimated national share of people with unimproved service (%).</t>
  </si>
  <si>
    <t>The estimated urban share of people with unimproved service (%).</t>
  </si>
  <si>
    <t>The estimated national share of people with surface service (%).</t>
  </si>
  <si>
    <t>The estimated urban share of people with at least basic service (%).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</si>
</sst>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1"/>
      <color rgb="FF000000"/>
      <name val="Arial"/>
      <scheme val="minor"/>
    </font>
    <font>
      <sz val="11"/>
      <color rgb="FF0000FF"/>
      <name val="Var(--font-anthropicons"/>
    </font>
    <font>
      <sz val="11"/>
      <color rgb="FF000000"/>
      <name val="Arial"/>
      <scheme val="minor"/>
    </font>
    <font>
      <sz val="11"/>
      <color rgb="FF0000FF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5" fillId="0" borderId="0" xfId="0" applyFont="1"/>
    <xf numFmtId="1" fontId="6" fillId="0" borderId="0" xfId="0" applyNumberFormat="1" applyFont="1"/>
    <xf numFmtId="0" fontId="7" fillId="0" borderId="0" xfId="0" applyFont="1"/>
    <xf numFmtId="1" fontId="8" fillId="0" borderId="0" xfId="0" applyNumberFormat="1" applyFont="1"/>
    <xf numFmtId="0" fontId="0" fillId="0" borderId="0" xfId="0" applyFont="1"/>
    <xf numFmtId="0" fontId="9" fillId="0" borderId="0" xfId="0" applyFont="1"/>
    <xf numFmtId="0" fontId="9" fillId="2" borderId="0" xfId="0" applyFont="1" applyFill="1"/>
    <xf numFmtId="168" fontId="0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right"/>
    </xf>
    <xf numFmtId="0" fontId="3" fillId="0" borderId="0" xfId="0" applyFont="1" applyBorder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1" fillId="0" borderId="0" xfId="0" applyFont="1" applyFill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11" xfId="0" applyFont="1" applyFill="1" applyBorder="1"/>
    <xf numFmtId="0" fontId="3" fillId="0" borderId="12" xfId="0" applyFont="1" applyBorder="1"/>
    <xf numFmtId="0" fontId="4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6" xfId="0" applyFont="1" applyBorder="1"/>
    <xf numFmtId="0" fontId="3" fillId="0" borderId="17" xfId="0" applyFont="1" applyBorder="1"/>
    <xf numFmtId="0" fontId="3" fillId="0" borderId="0" xfId="0" applyFont="1" applyFill="1"/>
    <xf numFmtId="0" fontId="0" fillId="0" borderId="0" xfId="0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3" fillId="0" borderId="0" xfId="0" applyFont="1" applyBorder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collection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Sheet'!$C$3</c:f>
              <c:strCache>
                <c:ptCount val="1"/>
                <c:pt idx="0">
                  <c:v>Count of 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'Summary Sheet'!$B$4:$B$9</c:f>
              <c:numCache>
                <c:formatCode>0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'Summary Sheet'!$C$4:$C$9</c:f>
              <c:numCache>
                <c:formatCode>General</c:formatCode>
                <c:ptCount val="6"/>
                <c:pt idx="0">
                  <c:v>231</c:v>
                </c:pt>
                <c:pt idx="1">
                  <c:v>3</c:v>
                </c:pt>
                <c:pt idx="2">
                  <c:v>9</c:v>
                </c:pt>
                <c:pt idx="3">
                  <c:v>2</c:v>
                </c:pt>
                <c:pt idx="4">
                  <c:v>4</c:v>
                </c:pt>
                <c:pt idx="5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C-45ED-AE47-6F8C631BF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858641008"/>
        <c:axId val="743634000"/>
      </c:barChart>
      <c:catAx>
        <c:axId val="85864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34000"/>
        <c:crosses val="autoZero"/>
        <c:auto val="1"/>
        <c:lblAlgn val="ctr"/>
        <c:lblOffset val="100"/>
        <c:noMultiLvlLbl val="0"/>
      </c:catAx>
      <c:valAx>
        <c:axId val="7436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64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ARC difference (rural − 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'Summary Sheet'!$D$31</c:f>
              <c:strCache>
                <c:ptCount val="1"/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'Summary Sheet'!$K$14:$K$25</c:f>
              <c:strCache>
                <c:ptCount val="12"/>
                <c:pt idx="0">
                  <c:v>-3.0 to -2.5</c:v>
                </c:pt>
                <c:pt idx="1">
                  <c:v>-2.5 to -2.0</c:v>
                </c:pt>
                <c:pt idx="2">
                  <c:v>-2.0 to -1.5</c:v>
                </c:pt>
                <c:pt idx="3">
                  <c:v>-1.5 to -1.0</c:v>
                </c:pt>
                <c:pt idx="4">
                  <c:v>-1.0 to -0.5</c:v>
                </c:pt>
                <c:pt idx="5">
                  <c:v>-0.5 to 0.0</c:v>
                </c:pt>
                <c:pt idx="6">
                  <c:v>0.0 to 0.5</c:v>
                </c:pt>
                <c:pt idx="7">
                  <c:v>0.5 to 1.0</c:v>
                </c:pt>
                <c:pt idx="8">
                  <c:v>1.0 to 1.5</c:v>
                </c:pt>
                <c:pt idx="9">
                  <c:v>1.5 to 2.0</c:v>
                </c:pt>
                <c:pt idx="10">
                  <c:v>2.0 to 2.5</c:v>
                </c:pt>
                <c:pt idx="11">
                  <c:v>2.5 to 3.0</c:v>
                </c:pt>
              </c:strCache>
            </c:strRef>
          </c:cat>
          <c:val>
            <c:numRef>
              <c:f>'Summary Sheet'!$N$14:$N$25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17</c:v>
                </c:pt>
                <c:pt idx="6">
                  <c:v>89</c:v>
                </c:pt>
                <c:pt idx="7">
                  <c:v>35</c:v>
                </c:pt>
                <c:pt idx="8">
                  <c:v>14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4F-4B9C-B91C-E87063BC4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704551055"/>
        <c:axId val="611535855"/>
      </c:barChart>
      <c:catAx>
        <c:axId val="704551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ARC difference (percentage points per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35855"/>
        <c:crosses val="autoZero"/>
        <c:auto val="1"/>
        <c:lblAlgn val="ctr"/>
        <c:lblOffset val="100"/>
        <c:noMultiLvlLbl val="0"/>
      </c:catAx>
      <c:valAx>
        <c:axId val="61153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5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National vs Rural ARC by Region (bubble size = population)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Sub-Saharan Africa</c:v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Regions!$I$3:$I$51</c:f>
              <c:numCache>
                <c:formatCode>General</c:formatCode>
                <c:ptCount val="49"/>
                <c:pt idx="0">
                  <c:v>0.57016185399999997</c:v>
                </c:pt>
                <c:pt idx="1">
                  <c:v>0.125460138</c:v>
                </c:pt>
                <c:pt idx="2">
                  <c:v>0.75345470800000103</c:v>
                </c:pt>
                <c:pt idx="3">
                  <c:v>-0.58445532600000005</c:v>
                </c:pt>
                <c:pt idx="4">
                  <c:v>0.5251306</c:v>
                </c:pt>
                <c:pt idx="5">
                  <c:v>0.66525281000000103</c:v>
                </c:pt>
                <c:pt idx="6">
                  <c:v>0.34928561199999802</c:v>
                </c:pt>
                <c:pt idx="7">
                  <c:v>-1.021788674</c:v>
                </c:pt>
                <c:pt idx="8">
                  <c:v>0.35768756400000001</c:v>
                </c:pt>
                <c:pt idx="9">
                  <c:v>1.9624432500002301E-2</c:v>
                </c:pt>
                <c:pt idx="10">
                  <c:v>0.52698596200000103</c:v>
                </c:pt>
                <c:pt idx="11">
                  <c:v>-3.3339302000001701E-2</c:v>
                </c:pt>
                <c:pt idx="12">
                  <c:v>0.64678939800000002</c:v>
                </c:pt>
                <c:pt idx="13">
                  <c:v>5.2575035999998902E-2</c:v>
                </c:pt>
                <c:pt idx="14">
                  <c:v>0.243607204999996</c:v>
                </c:pt>
                <c:pt idx="15">
                  <c:v>0.38462665000000101</c:v>
                </c:pt>
                <c:pt idx="16">
                  <c:v>0.80982314599999905</c:v>
                </c:pt>
                <c:pt idx="17">
                  <c:v>1.5091011080000001</c:v>
                </c:pt>
                <c:pt idx="18">
                  <c:v>0.29668881000000102</c:v>
                </c:pt>
                <c:pt idx="19">
                  <c:v>0.34604812800000101</c:v>
                </c:pt>
                <c:pt idx="20">
                  <c:v>1.126607084</c:v>
                </c:pt>
                <c:pt idx="21">
                  <c:v>6.9279840000000106E-2</c:v>
                </c:pt>
                <c:pt idx="22">
                  <c:v>5.0512917999999699E-2</c:v>
                </c:pt>
                <c:pt idx="23">
                  <c:v>0.42556449200000102</c:v>
                </c:pt>
                <c:pt idx="24">
                  <c:v>0.68719271999999998</c:v>
                </c:pt>
                <c:pt idx="25">
                  <c:v>0.32606997400000098</c:v>
                </c:pt>
                <c:pt idx="26">
                  <c:v>0.53839992999999997</c:v>
                </c:pt>
                <c:pt idx="27">
                  <c:v>0.89882227400000003</c:v>
                </c:pt>
                <c:pt idx="28">
                  <c:v>0.77855387399999898</c:v>
                </c:pt>
                <c:pt idx="29">
                  <c:v>1.6295557620000001</c:v>
                </c:pt>
                <c:pt idx="30">
                  <c:v>0.94154796599999901</c:v>
                </c:pt>
                <c:pt idx="31">
                  <c:v>-4.5424000001048597E-5</c:v>
                </c:pt>
                <c:pt idx="32">
                  <c:v>2.4386500839999998</c:v>
                </c:pt>
                <c:pt idx="33">
                  <c:v>0.34918022599999898</c:v>
                </c:pt>
                <c:pt idx="34">
                  <c:v>0.28586788200000102</c:v>
                </c:pt>
                <c:pt idx="35">
                  <c:v>1.765859584</c:v>
                </c:pt>
                <c:pt idx="36">
                  <c:v>0.65854542600000099</c:v>
                </c:pt>
                <c:pt idx="37">
                  <c:v>0.22044507399999999</c:v>
                </c:pt>
                <c:pt idx="38">
                  <c:v>1.260628834</c:v>
                </c:pt>
                <c:pt idx="39">
                  <c:v>1.1837640920000001</c:v>
                </c:pt>
                <c:pt idx="40">
                  <c:v>1.5531639420000001</c:v>
                </c:pt>
                <c:pt idx="41">
                  <c:v>0.401742714</c:v>
                </c:pt>
                <c:pt idx="42">
                  <c:v>-5.9316458000000703E-2</c:v>
                </c:pt>
                <c:pt idx="43">
                  <c:v>0.98931874799999897</c:v>
                </c:pt>
                <c:pt idx="44">
                  <c:v>0.53957077800000097</c:v>
                </c:pt>
                <c:pt idx="45">
                  <c:v>1.60269817</c:v>
                </c:pt>
                <c:pt idx="46">
                  <c:v>1.5506006000000001</c:v>
                </c:pt>
                <c:pt idx="47">
                  <c:v>0.81472745800000002</c:v>
                </c:pt>
                <c:pt idx="48">
                  <c:v>-0.39098582199999898</c:v>
                </c:pt>
              </c:numCache>
            </c:numRef>
          </c:xVal>
          <c:yVal>
            <c:numRef>
              <c:f>Regions!$J$3:$J$51</c:f>
              <c:numCache>
                <c:formatCode>General</c:formatCode>
                <c:ptCount val="49"/>
                <c:pt idx="0">
                  <c:v>0.21877144200000001</c:v>
                </c:pt>
                <c:pt idx="1">
                  <c:v>0.253583103999999</c:v>
                </c:pt>
                <c:pt idx="2">
                  <c:v>1.430238006</c:v>
                </c:pt>
                <c:pt idx="3">
                  <c:v>-1.2273809600000001</c:v>
                </c:pt>
                <c:pt idx="4">
                  <c:v>0.425499671999999</c:v>
                </c:pt>
                <c:pt idx="5">
                  <c:v>1.456442266</c:v>
                </c:pt>
                <c:pt idx="6">
                  <c:v>0.30438238200000001</c:v>
                </c:pt>
                <c:pt idx="7">
                  <c:v>-0.75696272799999997</c:v>
                </c:pt>
                <c:pt idx="8">
                  <c:v>0.39926290199999998</c:v>
                </c:pt>
                <c:pt idx="9">
                  <c:v>0</c:v>
                </c:pt>
                <c:pt idx="10">
                  <c:v>0.86651544800000002</c:v>
                </c:pt>
                <c:pt idx="11">
                  <c:v>-2.4144972000000601E-2</c:v>
                </c:pt>
                <c:pt idx="12">
                  <c:v>0.27205570800000001</c:v>
                </c:pt>
                <c:pt idx="13">
                  <c:v>-0.29569443200000101</c:v>
                </c:pt>
                <c:pt idx="14">
                  <c:v>0</c:v>
                </c:pt>
                <c:pt idx="15">
                  <c:v>0</c:v>
                </c:pt>
                <c:pt idx="16">
                  <c:v>0.86829276799999899</c:v>
                </c:pt>
                <c:pt idx="17">
                  <c:v>1.515674352</c:v>
                </c:pt>
                <c:pt idx="18">
                  <c:v>0.27117117000000002</c:v>
                </c:pt>
                <c:pt idx="19">
                  <c:v>0.18672612800000099</c:v>
                </c:pt>
                <c:pt idx="20">
                  <c:v>0.93688905600000105</c:v>
                </c:pt>
                <c:pt idx="21">
                  <c:v>-0.24019526999999999</c:v>
                </c:pt>
                <c:pt idx="22">
                  <c:v>0.28183505000000098</c:v>
                </c:pt>
                <c:pt idx="23">
                  <c:v>8.5856410000000993E-2</c:v>
                </c:pt>
                <c:pt idx="24">
                  <c:v>0.70156340399999995</c:v>
                </c:pt>
                <c:pt idx="25">
                  <c:v>4.58943339999991E-2</c:v>
                </c:pt>
                <c:pt idx="26">
                  <c:v>0.56740698599999995</c:v>
                </c:pt>
                <c:pt idx="27">
                  <c:v>0.65236850999999896</c:v>
                </c:pt>
                <c:pt idx="28">
                  <c:v>0.86888702400000095</c:v>
                </c:pt>
                <c:pt idx="29">
                  <c:v>1.737036236</c:v>
                </c:pt>
                <c:pt idx="30">
                  <c:v>0.64369934399999995</c:v>
                </c:pt>
                <c:pt idx="31">
                  <c:v>0</c:v>
                </c:pt>
                <c:pt idx="32">
                  <c:v>2.5790615479999999</c:v>
                </c:pt>
                <c:pt idx="33">
                  <c:v>0.223027210000001</c:v>
                </c:pt>
                <c:pt idx="34">
                  <c:v>0.36484353399999903</c:v>
                </c:pt>
                <c:pt idx="35">
                  <c:v>1.6331522060000001</c:v>
                </c:pt>
                <c:pt idx="36">
                  <c:v>0.65795173399999995</c:v>
                </c:pt>
                <c:pt idx="37">
                  <c:v>0.60357956999999895</c:v>
                </c:pt>
                <c:pt idx="38">
                  <c:v>1.860345328</c:v>
                </c:pt>
                <c:pt idx="39">
                  <c:v>1.444597766</c:v>
                </c:pt>
                <c:pt idx="40">
                  <c:v>1.5695340440000001</c:v>
                </c:pt>
                <c:pt idx="41">
                  <c:v>0.85914853000000202</c:v>
                </c:pt>
                <c:pt idx="42">
                  <c:v>-0.62663018400000003</c:v>
                </c:pt>
                <c:pt idx="43">
                  <c:v>0.975073894000001</c:v>
                </c:pt>
                <c:pt idx="44">
                  <c:v>1.669111792</c:v>
                </c:pt>
                <c:pt idx="45">
                  <c:v>1.7028372899999999</c:v>
                </c:pt>
                <c:pt idx="46">
                  <c:v>1.316708156</c:v>
                </c:pt>
                <c:pt idx="47">
                  <c:v>0.92209080200000004</c:v>
                </c:pt>
                <c:pt idx="48">
                  <c:v>-0.65001214200000001</c:v>
                </c:pt>
              </c:numCache>
            </c:numRef>
          </c:yVal>
          <c:bubbleSize>
            <c:numRef>
              <c:f>Regions!$K$3:$K$51</c:f>
              <c:numCache>
                <c:formatCode>General</c:formatCode>
                <c:ptCount val="49"/>
                <c:pt idx="0">
                  <c:v>27884.380860000001</c:v>
                </c:pt>
                <c:pt idx="1">
                  <c:v>10575.96191</c:v>
                </c:pt>
                <c:pt idx="2">
                  <c:v>2120.7160640000002</c:v>
                </c:pt>
                <c:pt idx="3">
                  <c:v>18110.615229999999</c:v>
                </c:pt>
                <c:pt idx="4">
                  <c:v>10160.034180000001</c:v>
                </c:pt>
                <c:pt idx="5">
                  <c:v>524.73999019999997</c:v>
                </c:pt>
                <c:pt idx="6">
                  <c:v>23298.376950000002</c:v>
                </c:pt>
                <c:pt idx="7">
                  <c:v>4493.1708980000003</c:v>
                </c:pt>
                <c:pt idx="8">
                  <c:v>14110.9707</c:v>
                </c:pt>
                <c:pt idx="9">
                  <c:v>777.43499759999997</c:v>
                </c:pt>
                <c:pt idx="10">
                  <c:v>4856.0927730000003</c:v>
                </c:pt>
                <c:pt idx="11">
                  <c:v>23226.148440000001</c:v>
                </c:pt>
                <c:pt idx="12">
                  <c:v>76244.53125</c:v>
                </c:pt>
                <c:pt idx="13">
                  <c:v>913.99798580000004</c:v>
                </c:pt>
                <c:pt idx="14">
                  <c:v>1168.5749510000001</c:v>
                </c:pt>
                <c:pt idx="15">
                  <c:v>3342.818115</c:v>
                </c:pt>
                <c:pt idx="16">
                  <c:v>1104.0379640000001</c:v>
                </c:pt>
                <c:pt idx="17">
                  <c:v>100835.4531</c:v>
                </c:pt>
                <c:pt idx="18">
                  <c:v>1947.6899410000001</c:v>
                </c:pt>
                <c:pt idx="19">
                  <c:v>2085.860107</c:v>
                </c:pt>
                <c:pt idx="20">
                  <c:v>27849.203130000002</c:v>
                </c:pt>
                <c:pt idx="21">
                  <c:v>11432.0957</c:v>
                </c:pt>
                <c:pt idx="22">
                  <c:v>1737.2070309999999</c:v>
                </c:pt>
                <c:pt idx="23">
                  <c:v>10695.54004</c:v>
                </c:pt>
                <c:pt idx="24">
                  <c:v>47878.339840000001</c:v>
                </c:pt>
                <c:pt idx="25">
                  <c:v>2059.0109859999998</c:v>
                </c:pt>
                <c:pt idx="26">
                  <c:v>4472.2290039999998</c:v>
                </c:pt>
                <c:pt idx="27">
                  <c:v>24234.08008</c:v>
                </c:pt>
                <c:pt idx="28">
                  <c:v>16745.304690000001</c:v>
                </c:pt>
                <c:pt idx="29">
                  <c:v>17438.771479999999</c:v>
                </c:pt>
                <c:pt idx="30">
                  <c:v>4046.3039549999999</c:v>
                </c:pt>
                <c:pt idx="31">
                  <c:v>1259.4570309999999</c:v>
                </c:pt>
                <c:pt idx="32">
                  <c:v>27042.001950000002</c:v>
                </c:pt>
                <c:pt idx="33">
                  <c:v>2314.9008789999998</c:v>
                </c:pt>
                <c:pt idx="34">
                  <c:v>20001.662110000001</c:v>
                </c:pt>
                <c:pt idx="35">
                  <c:v>181137.45310000001</c:v>
                </c:pt>
                <c:pt idx="36">
                  <c:v>11369.066409999999</c:v>
                </c:pt>
                <c:pt idx="37">
                  <c:v>199.43899540000001</c:v>
                </c:pt>
                <c:pt idx="38">
                  <c:v>14578.450199999999</c:v>
                </c:pt>
                <c:pt idx="39">
                  <c:v>7171.9091799999997</c:v>
                </c:pt>
                <c:pt idx="40">
                  <c:v>13797.204100000001</c:v>
                </c:pt>
                <c:pt idx="41">
                  <c:v>55386.367189999997</c:v>
                </c:pt>
                <c:pt idx="42">
                  <c:v>10715.657230000001</c:v>
                </c:pt>
                <c:pt idx="43">
                  <c:v>7323.1621089999999</c:v>
                </c:pt>
                <c:pt idx="44">
                  <c:v>11179.95117</c:v>
                </c:pt>
                <c:pt idx="45">
                  <c:v>38225.445310000003</c:v>
                </c:pt>
                <c:pt idx="46">
                  <c:v>51482.636720000002</c:v>
                </c:pt>
                <c:pt idx="47">
                  <c:v>15879.37012</c:v>
                </c:pt>
                <c:pt idx="48">
                  <c:v>13814.641600000001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E9C-487F-8763-9F5917F6F115}"/>
            </c:ext>
          </c:extLst>
        </c:ser>
        <c:ser>
          <c:idx val="1"/>
          <c:order val="1"/>
          <c:tx>
            <c:v>South Asia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Regions!$N$3:$N$13</c:f>
              <c:numCache>
                <c:formatCode>General</c:formatCode>
                <c:ptCount val="11"/>
                <c:pt idx="0">
                  <c:v>2.7503264879999998</c:v>
                </c:pt>
                <c:pt idx="1">
                  <c:v>0.119271555999998</c:v>
                </c:pt>
                <c:pt idx="2">
                  <c:v>0.218360007999999</c:v>
                </c:pt>
                <c:pt idx="3">
                  <c:v>0.470278479999999</c:v>
                </c:pt>
                <c:pt idx="4">
                  <c:v>0.135129850000001</c:v>
                </c:pt>
                <c:pt idx="5">
                  <c:v>9.5409020000005295E-3</c:v>
                </c:pt>
                <c:pt idx="6">
                  <c:v>0.14603886199999999</c:v>
                </c:pt>
                <c:pt idx="7">
                  <c:v>0.45321483999999801</c:v>
                </c:pt>
                <c:pt idx="8">
                  <c:v>0.13879654799999899</c:v>
                </c:pt>
                <c:pt idx="9">
                  <c:v>0.41826670799999899</c:v>
                </c:pt>
                <c:pt idx="10">
                  <c:v>0.42331015999999999</c:v>
                </c:pt>
              </c:numCache>
            </c:numRef>
          </c:xVal>
          <c:yVal>
            <c:numRef>
              <c:f>Regions!$O$3:$O$13</c:f>
              <c:numCache>
                <c:formatCode>General</c:formatCode>
                <c:ptCount val="11"/>
                <c:pt idx="0">
                  <c:v>2.667882638</c:v>
                </c:pt>
                <c:pt idx="1">
                  <c:v>0.22144529599999899</c:v>
                </c:pt>
                <c:pt idx="2">
                  <c:v>0.31336613999999902</c:v>
                </c:pt>
                <c:pt idx="3">
                  <c:v>0.64210055600000004</c:v>
                </c:pt>
                <c:pt idx="4">
                  <c:v>0.33324654600000098</c:v>
                </c:pt>
                <c:pt idx="5">
                  <c:v>-0.14417221999999899</c:v>
                </c:pt>
                <c:pt idx="6">
                  <c:v>0.20786264599999801</c:v>
                </c:pt>
                <c:pt idx="7">
                  <c:v>0.59225840200000202</c:v>
                </c:pt>
                <c:pt idx="8">
                  <c:v>0.28978080000000001</c:v>
                </c:pt>
                <c:pt idx="9">
                  <c:v>0.57075417800000094</c:v>
                </c:pt>
                <c:pt idx="10">
                  <c:v>0.45606591200000002</c:v>
                </c:pt>
              </c:numCache>
            </c:numRef>
          </c:yVal>
          <c:bubbleSize>
            <c:numRef>
              <c:f>Regions!$P$3:$P$13</c:f>
              <c:numCache>
                <c:formatCode>General</c:formatCode>
                <c:ptCount val="11"/>
                <c:pt idx="0">
                  <c:v>34413.601560000003</c:v>
                </c:pt>
                <c:pt idx="1">
                  <c:v>156256.2813</c:v>
                </c:pt>
                <c:pt idx="2">
                  <c:v>727.88500980000003</c:v>
                </c:pt>
                <c:pt idx="3">
                  <c:v>1310152.375</c:v>
                </c:pt>
                <c:pt idx="4">
                  <c:v>78492.210940000004</c:v>
                </c:pt>
                <c:pt idx="5">
                  <c:v>30270.964840000001</c:v>
                </c:pt>
                <c:pt idx="6">
                  <c:v>454.91400149999998</c:v>
                </c:pt>
                <c:pt idx="7">
                  <c:v>27015.033200000002</c:v>
                </c:pt>
                <c:pt idx="8">
                  <c:v>199426.95310000001</c:v>
                </c:pt>
                <c:pt idx="9">
                  <c:v>102113.2031</c:v>
                </c:pt>
                <c:pt idx="10">
                  <c:v>20908.023440000001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8E9C-487F-8763-9F5917F6F115}"/>
            </c:ext>
          </c:extLst>
        </c:ser>
        <c:ser>
          <c:idx val="2"/>
          <c:order val="2"/>
          <c:tx>
            <c:v>East Asia &amp; Pacific</c:v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Regions!$S$3:$S$26</c:f>
              <c:numCache>
                <c:formatCode>General</c:formatCode>
                <c:ptCount val="24"/>
                <c:pt idx="0">
                  <c:v>-3.8770000000454297E-5</c:v>
                </c:pt>
                <c:pt idx="1">
                  <c:v>0.55520720199999996</c:v>
                </c:pt>
                <c:pt idx="2">
                  <c:v>0.49969387199999998</c:v>
                </c:pt>
                <c:pt idx="3">
                  <c:v>-0.27420773599999998</c:v>
                </c:pt>
                <c:pt idx="4">
                  <c:v>7.7013139999991204E-3</c:v>
                </c:pt>
                <c:pt idx="5">
                  <c:v>0.77759933000000103</c:v>
                </c:pt>
                <c:pt idx="6">
                  <c:v>0.82456485199999996</c:v>
                </c:pt>
                <c:pt idx="7">
                  <c:v>1.551834194</c:v>
                </c:pt>
                <c:pt idx="8">
                  <c:v>4.5904672000000299E-2</c:v>
                </c:pt>
                <c:pt idx="9">
                  <c:v>0.93652263600000096</c:v>
                </c:pt>
                <c:pt idx="10">
                  <c:v>2.0261442820000002</c:v>
                </c:pt>
                <c:pt idx="11">
                  <c:v>7.8999999857387599E-7</c:v>
                </c:pt>
                <c:pt idx="12">
                  <c:v>5.4789299999981698E-3</c:v>
                </c:pt>
                <c:pt idx="13">
                  <c:v>0.77170181600000098</c:v>
                </c:pt>
                <c:pt idx="14">
                  <c:v>0.103265438</c:v>
                </c:pt>
                <c:pt idx="15">
                  <c:v>-0.40577867000000101</c:v>
                </c:pt>
                <c:pt idx="16">
                  <c:v>0.148165883999999</c:v>
                </c:pt>
                <c:pt idx="17">
                  <c:v>2.0490994979999999</c:v>
                </c:pt>
                <c:pt idx="18">
                  <c:v>5.00561299999987E-2</c:v>
                </c:pt>
                <c:pt idx="19">
                  <c:v>3.6275096E-2</c:v>
                </c:pt>
                <c:pt idx="20">
                  <c:v>0</c:v>
                </c:pt>
                <c:pt idx="21">
                  <c:v>0.24860285199999901</c:v>
                </c:pt>
                <c:pt idx="22">
                  <c:v>0.711259258000001</c:v>
                </c:pt>
                <c:pt idx="23">
                  <c:v>-3.5618833999998899E-2</c:v>
                </c:pt>
              </c:numCache>
            </c:numRef>
          </c:xVal>
          <c:yVal>
            <c:numRef>
              <c:f>Regions!$T$3:$T$26</c:f>
              <c:numCache>
                <c:formatCode>General</c:formatCode>
                <c:ptCount val="24"/>
                <c:pt idx="0">
                  <c:v>0</c:v>
                </c:pt>
                <c:pt idx="1">
                  <c:v>0.47120782999999999</c:v>
                </c:pt>
                <c:pt idx="2">
                  <c:v>1.0364091179999999</c:v>
                </c:pt>
                <c:pt idx="3">
                  <c:v>-0.57266870800000003</c:v>
                </c:pt>
                <c:pt idx="4">
                  <c:v>-5.8100668000000202E-2</c:v>
                </c:pt>
                <c:pt idx="5">
                  <c:v>1.0074342380000001</c:v>
                </c:pt>
                <c:pt idx="6">
                  <c:v>0.61438645999999997</c:v>
                </c:pt>
                <c:pt idx="7">
                  <c:v>1.646654574</c:v>
                </c:pt>
                <c:pt idx="8">
                  <c:v>3.02719999999994E-2</c:v>
                </c:pt>
                <c:pt idx="9">
                  <c:v>1.795372626</c:v>
                </c:pt>
                <c:pt idx="10">
                  <c:v>2.2345902299999998</c:v>
                </c:pt>
                <c:pt idx="11">
                  <c:v>0</c:v>
                </c:pt>
                <c:pt idx="12">
                  <c:v>2.8622709999999101E-2</c:v>
                </c:pt>
                <c:pt idx="13">
                  <c:v>0.81614213399999902</c:v>
                </c:pt>
                <c:pt idx="14">
                  <c:v>7.8781444000000506E-2</c:v>
                </c:pt>
                <c:pt idx="15">
                  <c:v>-0.72137414</c:v>
                </c:pt>
                <c:pt idx="16">
                  <c:v>0.224096657999999</c:v>
                </c:pt>
                <c:pt idx="17">
                  <c:v>2.3056811740000001</c:v>
                </c:pt>
                <c:pt idx="18">
                  <c:v>5.00561299999987E-2</c:v>
                </c:pt>
                <c:pt idx="19">
                  <c:v>1.50060619999977E-2</c:v>
                </c:pt>
                <c:pt idx="20">
                  <c:v>0</c:v>
                </c:pt>
                <c:pt idx="21">
                  <c:v>0.28383011400000002</c:v>
                </c:pt>
                <c:pt idx="22">
                  <c:v>0.93629408999999797</c:v>
                </c:pt>
                <c:pt idx="23">
                  <c:v>-3.5618833999998899E-2</c:v>
                </c:pt>
              </c:numCache>
            </c:numRef>
          </c:yVal>
          <c:bubbleSize>
            <c:numRef>
              <c:f>Regions!$U$3:$U$26</c:f>
              <c:numCache>
                <c:formatCode>General</c:formatCode>
                <c:ptCount val="24"/>
                <c:pt idx="0">
                  <c:v>23932.498049999998</c:v>
                </c:pt>
                <c:pt idx="1">
                  <c:v>15521.434569999999</c:v>
                </c:pt>
                <c:pt idx="2">
                  <c:v>1430405.375</c:v>
                </c:pt>
                <c:pt idx="3">
                  <c:v>25183.832030000001</c:v>
                </c:pt>
                <c:pt idx="4">
                  <c:v>868.63201900000001</c:v>
                </c:pt>
                <c:pt idx="5">
                  <c:v>258383.25</c:v>
                </c:pt>
                <c:pt idx="6">
                  <c:v>110.927002</c:v>
                </c:pt>
                <c:pt idx="7">
                  <c:v>6741.1601559999999</c:v>
                </c:pt>
                <c:pt idx="8">
                  <c:v>57.444000240000001</c:v>
                </c:pt>
                <c:pt idx="9">
                  <c:v>2998.4331050000001</c:v>
                </c:pt>
                <c:pt idx="10">
                  <c:v>52680.722659999999</c:v>
                </c:pt>
                <c:pt idx="11">
                  <c:v>4614.5268550000001</c:v>
                </c:pt>
                <c:pt idx="12">
                  <c:v>17.665000920000001</c:v>
                </c:pt>
                <c:pt idx="13">
                  <c:v>8107.7719729999999</c:v>
                </c:pt>
                <c:pt idx="14">
                  <c:v>193.5099945</c:v>
                </c:pt>
                <c:pt idx="15">
                  <c:v>603.13299559999996</c:v>
                </c:pt>
                <c:pt idx="16">
                  <c:v>68714.515629999994</c:v>
                </c:pt>
                <c:pt idx="17">
                  <c:v>1196.2939449999999</c:v>
                </c:pt>
                <c:pt idx="18">
                  <c:v>1.2469999789999999</c:v>
                </c:pt>
                <c:pt idx="19">
                  <c:v>100.7799988</c:v>
                </c:pt>
                <c:pt idx="20">
                  <c:v>11.09899998</c:v>
                </c:pt>
                <c:pt idx="21">
                  <c:v>271.1279907</c:v>
                </c:pt>
                <c:pt idx="22">
                  <c:v>92677.078129999994</c:v>
                </c:pt>
                <c:pt idx="23">
                  <c:v>12.26200008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8E9C-487F-8763-9F5917F6F115}"/>
            </c:ext>
          </c:extLst>
        </c:ser>
        <c:ser>
          <c:idx val="3"/>
          <c:order val="3"/>
          <c:tx>
            <c:v>Europe &amp; Central Asia</c:v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Regions!$X$3:$X$51</c:f>
              <c:numCache>
                <c:formatCode>General</c:formatCode>
                <c:ptCount val="49"/>
                <c:pt idx="0">
                  <c:v>0.334742698000002</c:v>
                </c:pt>
                <c:pt idx="1">
                  <c:v>1.2299999980314199E-6</c:v>
                </c:pt>
                <c:pt idx="2">
                  <c:v>8.3722797999999404E-2</c:v>
                </c:pt>
                <c:pt idx="3">
                  <c:v>0</c:v>
                </c:pt>
                <c:pt idx="4">
                  <c:v>0.72461242999999897</c:v>
                </c:pt>
                <c:pt idx="5">
                  <c:v>1.1531797999998599E-2</c:v>
                </c:pt>
                <c:pt idx="6">
                  <c:v>-2.4999999936881099E-7</c:v>
                </c:pt>
                <c:pt idx="7">
                  <c:v>-9.1893119999980396E-3</c:v>
                </c:pt>
                <c:pt idx="8">
                  <c:v>-3.69820739999994E-2</c:v>
                </c:pt>
                <c:pt idx="9">
                  <c:v>-4.6688779999982397E-3</c:v>
                </c:pt>
                <c:pt idx="10">
                  <c:v>9.9796000000651502E-5</c:v>
                </c:pt>
                <c:pt idx="11">
                  <c:v>6.5000000120107898E-7</c:v>
                </c:pt>
                <c:pt idx="12">
                  <c:v>1.3280000018767199E-6</c:v>
                </c:pt>
                <c:pt idx="13">
                  <c:v>-2.9999999924257301E-7</c:v>
                </c:pt>
                <c:pt idx="14">
                  <c:v>0.318682038</c:v>
                </c:pt>
                <c:pt idx="15">
                  <c:v>-1.9999998812636501E-8</c:v>
                </c:pt>
                <c:pt idx="16">
                  <c:v>-4.5999999827017702E-7</c:v>
                </c:pt>
                <c:pt idx="17">
                  <c:v>5.8937020000001897E-3</c:v>
                </c:pt>
                <c:pt idx="18">
                  <c:v>-1.0180000003856499E-6</c:v>
                </c:pt>
                <c:pt idx="19">
                  <c:v>5.5157040000011603E-3</c:v>
                </c:pt>
                <c:pt idx="20">
                  <c:v>-2.9999999924257301E-7</c:v>
                </c:pt>
                <c:pt idx="21">
                  <c:v>8.1927182000001195E-2</c:v>
                </c:pt>
                <c:pt idx="22">
                  <c:v>0.65150879399999995</c:v>
                </c:pt>
                <c:pt idx="23">
                  <c:v>5.14967740000003E-2</c:v>
                </c:pt>
                <c:pt idx="24">
                  <c:v>0.28184173200000101</c:v>
                </c:pt>
                <c:pt idx="25">
                  <c:v>-9.0476240000015203E-3</c:v>
                </c:pt>
                <c:pt idx="26">
                  <c:v>8.0000000934887802E-8</c:v>
                </c:pt>
                <c:pt idx="27">
                  <c:v>0.29312423000000098</c:v>
                </c:pt>
                <c:pt idx="28">
                  <c:v>1.4600000213249601E-7</c:v>
                </c:pt>
                <c:pt idx="29">
                  <c:v>5.4096591999999097E-2</c:v>
                </c:pt>
                <c:pt idx="30">
                  <c:v>-1.14000000053238E-6</c:v>
                </c:pt>
                <c:pt idx="31">
                  <c:v>0.146904334000001</c:v>
                </c:pt>
                <c:pt idx="32">
                  <c:v>1.46076599999958E-3</c:v>
                </c:pt>
                <c:pt idx="33">
                  <c:v>0.398786067999998</c:v>
                </c:pt>
                <c:pt idx="34">
                  <c:v>0</c:v>
                </c:pt>
                <c:pt idx="35">
                  <c:v>9.3078528000000896E-2</c:v>
                </c:pt>
                <c:pt idx="36">
                  <c:v>0.381814403999999</c:v>
                </c:pt>
                <c:pt idx="37">
                  <c:v>1.01889999999116E-4</c:v>
                </c:pt>
                <c:pt idx="38">
                  <c:v>-2.2156999999936E-4</c:v>
                </c:pt>
                <c:pt idx="39">
                  <c:v>9.1273199999989205E-3</c:v>
                </c:pt>
                <c:pt idx="40">
                  <c:v>5.6000000085987305E-7</c:v>
                </c:pt>
                <c:pt idx="41">
                  <c:v>1.1225839019999999</c:v>
                </c:pt>
                <c:pt idx="42">
                  <c:v>0.151622007999998</c:v>
                </c:pt>
                <c:pt idx="43">
                  <c:v>0.46821113800000103</c:v>
                </c:pt>
                <c:pt idx="44">
                  <c:v>5.4275051999999803E-2</c:v>
                </c:pt>
                <c:pt idx="45">
                  <c:v>-5.8800000033443203E-7</c:v>
                </c:pt>
                <c:pt idx="46">
                  <c:v>6.0041318000000399E-2</c:v>
                </c:pt>
                <c:pt idx="47">
                  <c:v>0.30010810200000099</c:v>
                </c:pt>
                <c:pt idx="48">
                  <c:v>0.97694024200000096</c:v>
                </c:pt>
              </c:numCache>
            </c:numRef>
          </c:xVal>
          <c:yVal>
            <c:numRef>
              <c:f>Regions!$Y$3:$Y$51</c:f>
              <c:numCache>
                <c:formatCode>General</c:formatCode>
                <c:ptCount val="49"/>
                <c:pt idx="0">
                  <c:v>0.69281669000000101</c:v>
                </c:pt>
                <c:pt idx="1">
                  <c:v>0</c:v>
                </c:pt>
                <c:pt idx="2">
                  <c:v>0.189044146000001</c:v>
                </c:pt>
                <c:pt idx="3">
                  <c:v>0</c:v>
                </c:pt>
                <c:pt idx="4">
                  <c:v>1.356516936</c:v>
                </c:pt>
                <c:pt idx="5">
                  <c:v>4.66901419999999E-2</c:v>
                </c:pt>
                <c:pt idx="6">
                  <c:v>0</c:v>
                </c:pt>
                <c:pt idx="7">
                  <c:v>0</c:v>
                </c:pt>
                <c:pt idx="8">
                  <c:v>-0.12297047400000199</c:v>
                </c:pt>
                <c:pt idx="9">
                  <c:v>-3.0847639999990401E-3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0.59534672199999905</c:v>
                </c:pt>
                <c:pt idx="15">
                  <c:v>0</c:v>
                </c:pt>
                <c:pt idx="16">
                  <c:v>0</c:v>
                </c:pt>
                <c:pt idx="17">
                  <c:v>1.9982056000000602E-2</c:v>
                </c:pt>
                <c:pt idx="18">
                  <c:v>0</c:v>
                </c:pt>
                <c:pt idx="19">
                  <c:v>2.3620912000001201E-2</c:v>
                </c:pt>
                <c:pt idx="20">
                  <c:v>0</c:v>
                </c:pt>
                <c:pt idx="21">
                  <c:v>0.2383509</c:v>
                </c:pt>
                <c:pt idx="22">
                  <c:v>0.83064227199999996</c:v>
                </c:pt>
                <c:pt idx="23">
                  <c:v>0.14490082600000001</c:v>
                </c:pt>
                <c:pt idx="24">
                  <c:v>0.61285916399999996</c:v>
                </c:pt>
                <c:pt idx="25">
                  <c:v>-0.12857142800000099</c:v>
                </c:pt>
                <c:pt idx="26">
                  <c:v>0</c:v>
                </c:pt>
                <c:pt idx="27">
                  <c:v>0.44024507199999902</c:v>
                </c:pt>
                <c:pt idx="28">
                  <c:v>0</c:v>
                </c:pt>
                <c:pt idx="29">
                  <c:v>-3.29037119999981E-2</c:v>
                </c:pt>
                <c:pt idx="30">
                  <c:v>0</c:v>
                </c:pt>
                <c:pt idx="31">
                  <c:v>0.29241935400000002</c:v>
                </c:pt>
                <c:pt idx="32">
                  <c:v>0</c:v>
                </c:pt>
                <c:pt idx="33">
                  <c:v>0.58770947399999895</c:v>
                </c:pt>
                <c:pt idx="34">
                  <c:v>0</c:v>
                </c:pt>
                <c:pt idx="35">
                  <c:v>0.28679859000000102</c:v>
                </c:pt>
                <c:pt idx="36">
                  <c:v>0.224289140000002</c:v>
                </c:pt>
                <c:pt idx="37">
                  <c:v>0</c:v>
                </c:pt>
                <c:pt idx="38">
                  <c:v>0</c:v>
                </c:pt>
                <c:pt idx="39">
                  <c:v>3.3877642000001602E-2</c:v>
                </c:pt>
                <c:pt idx="40">
                  <c:v>0</c:v>
                </c:pt>
                <c:pt idx="41">
                  <c:v>1.4182834280000001</c:v>
                </c:pt>
                <c:pt idx="42">
                  <c:v>0.36425735600000198</c:v>
                </c:pt>
                <c:pt idx="43">
                  <c:v>0.75604336799999905</c:v>
                </c:pt>
                <c:pt idx="44">
                  <c:v>0.231377678000001</c:v>
                </c:pt>
                <c:pt idx="45">
                  <c:v>0</c:v>
                </c:pt>
                <c:pt idx="46">
                  <c:v>8.6038161999999793E-2</c:v>
                </c:pt>
                <c:pt idx="47">
                  <c:v>0.66688281399999905</c:v>
                </c:pt>
                <c:pt idx="48">
                  <c:v>1.1446132419999999</c:v>
                </c:pt>
              </c:numCache>
            </c:numRef>
          </c:yVal>
          <c:bubbleSize>
            <c:numRef>
              <c:f>Regions!$Z$3:$Z$51</c:f>
              <c:numCache>
                <c:formatCode>General</c:formatCode>
                <c:ptCount val="49"/>
                <c:pt idx="0">
                  <c:v>2890.5239259999998</c:v>
                </c:pt>
                <c:pt idx="1">
                  <c:v>77.992996219999995</c:v>
                </c:pt>
                <c:pt idx="2">
                  <c:v>2925.5590820000002</c:v>
                </c:pt>
                <c:pt idx="3">
                  <c:v>8678.6669920000004</c:v>
                </c:pt>
                <c:pt idx="4">
                  <c:v>9622.7412110000005</c:v>
                </c:pt>
                <c:pt idx="5">
                  <c:v>9439.4238280000009</c:v>
                </c:pt>
                <c:pt idx="6">
                  <c:v>11287.93066</c:v>
                </c:pt>
                <c:pt idx="7">
                  <c:v>3429.3620609999998</c:v>
                </c:pt>
                <c:pt idx="8">
                  <c:v>7199.7387699999999</c:v>
                </c:pt>
                <c:pt idx="9">
                  <c:v>1160.987061</c:v>
                </c:pt>
                <c:pt idx="10">
                  <c:v>10601.389649999999</c:v>
                </c:pt>
                <c:pt idx="11">
                  <c:v>5688.6948240000002</c:v>
                </c:pt>
                <c:pt idx="12">
                  <c:v>5481.1279299999997</c:v>
                </c:pt>
                <c:pt idx="13">
                  <c:v>64453.195310000003</c:v>
                </c:pt>
                <c:pt idx="14">
                  <c:v>4024.179932</c:v>
                </c:pt>
                <c:pt idx="15">
                  <c:v>81787.414059999996</c:v>
                </c:pt>
                <c:pt idx="16">
                  <c:v>10659.737300000001</c:v>
                </c:pt>
                <c:pt idx="17">
                  <c:v>9777.9248050000006</c:v>
                </c:pt>
                <c:pt idx="18">
                  <c:v>330.23699950000002</c:v>
                </c:pt>
                <c:pt idx="19">
                  <c:v>4652.419922</c:v>
                </c:pt>
                <c:pt idx="20">
                  <c:v>7978.4960940000001</c:v>
                </c:pt>
                <c:pt idx="21">
                  <c:v>17572.009770000001</c:v>
                </c:pt>
                <c:pt idx="22">
                  <c:v>5959.1259769999997</c:v>
                </c:pt>
                <c:pt idx="23">
                  <c:v>1997.6750489999999</c:v>
                </c:pt>
                <c:pt idx="24">
                  <c:v>2931.8720699999999</c:v>
                </c:pt>
                <c:pt idx="25">
                  <c:v>566.74102779999998</c:v>
                </c:pt>
                <c:pt idx="26">
                  <c:v>433.55899049999999</c:v>
                </c:pt>
                <c:pt idx="27">
                  <c:v>626.9569702</c:v>
                </c:pt>
                <c:pt idx="28">
                  <c:v>16938.492190000001</c:v>
                </c:pt>
                <c:pt idx="29">
                  <c:v>2079.334961</c:v>
                </c:pt>
                <c:pt idx="30">
                  <c:v>5199.8271480000003</c:v>
                </c:pt>
                <c:pt idx="31">
                  <c:v>38034.074220000002</c:v>
                </c:pt>
                <c:pt idx="32">
                  <c:v>10368.3457</c:v>
                </c:pt>
                <c:pt idx="33">
                  <c:v>4070.705078</c:v>
                </c:pt>
                <c:pt idx="34">
                  <c:v>19925.181639999999</c:v>
                </c:pt>
                <c:pt idx="35">
                  <c:v>144985.0625</c:v>
                </c:pt>
                <c:pt idx="36">
                  <c:v>8876.7773440000001</c:v>
                </c:pt>
                <c:pt idx="37">
                  <c:v>5435.6137699999999</c:v>
                </c:pt>
                <c:pt idx="38">
                  <c:v>46671.917970000002</c:v>
                </c:pt>
                <c:pt idx="39">
                  <c:v>9764.9492190000001</c:v>
                </c:pt>
                <c:pt idx="40">
                  <c:v>8296.7753909999992</c:v>
                </c:pt>
                <c:pt idx="41">
                  <c:v>8454.0185550000006</c:v>
                </c:pt>
                <c:pt idx="42">
                  <c:v>78529.414059999996</c:v>
                </c:pt>
                <c:pt idx="43">
                  <c:v>5565.283203</c:v>
                </c:pt>
                <c:pt idx="44">
                  <c:v>44921.636720000002</c:v>
                </c:pt>
                <c:pt idx="45">
                  <c:v>65860.148440000004</c:v>
                </c:pt>
                <c:pt idx="46">
                  <c:v>30929.556639999999</c:v>
                </c:pt>
                <c:pt idx="47">
                  <c:v>4529.1601559999999</c:v>
                </c:pt>
                <c:pt idx="48">
                  <c:v>26497.880860000001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8E9C-487F-8763-9F5917F6F115}"/>
            </c:ext>
          </c:extLst>
        </c:ser>
        <c:ser>
          <c:idx val="4"/>
          <c:order val="4"/>
          <c:tx>
            <c:v>Latin America &amp; Caribbean</c:v>
          </c:tx>
          <c:spPr>
            <a:solidFill>
              <a:schemeClr val="accent5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Regions!$AC$3:$AC$25</c:f>
              <c:numCache>
                <c:formatCode>General</c:formatCode>
                <c:ptCount val="23"/>
                <c:pt idx="0">
                  <c:v>0.245271930000001</c:v>
                </c:pt>
                <c:pt idx="1">
                  <c:v>0.58558612399999999</c:v>
                </c:pt>
                <c:pt idx="2">
                  <c:v>0.30345708000000099</c:v>
                </c:pt>
                <c:pt idx="3">
                  <c:v>9.8701199999999295E-2</c:v>
                </c:pt>
                <c:pt idx="4">
                  <c:v>0.231157798000001</c:v>
                </c:pt>
                <c:pt idx="5">
                  <c:v>8.6370021999999796E-2</c:v>
                </c:pt>
                <c:pt idx="6">
                  <c:v>0.226179937999999</c:v>
                </c:pt>
                <c:pt idx="7">
                  <c:v>0.117494683999999</c:v>
                </c:pt>
                <c:pt idx="8">
                  <c:v>0.45919681200000201</c:v>
                </c:pt>
                <c:pt idx="9">
                  <c:v>0.476887533999999</c:v>
                </c:pt>
                <c:pt idx="10">
                  <c:v>9.7784147999999502E-2</c:v>
                </c:pt>
                <c:pt idx="11">
                  <c:v>0.37447888400000101</c:v>
                </c:pt>
                <c:pt idx="12">
                  <c:v>7.8589980000001003E-2</c:v>
                </c:pt>
                <c:pt idx="13">
                  <c:v>0.48696208400000102</c:v>
                </c:pt>
                <c:pt idx="14">
                  <c:v>0.122629642000001</c:v>
                </c:pt>
                <c:pt idx="15">
                  <c:v>0.33082494800000001</c:v>
                </c:pt>
                <c:pt idx="16">
                  <c:v>7.11250519999993E-2</c:v>
                </c:pt>
                <c:pt idx="17">
                  <c:v>0.29363575000000097</c:v>
                </c:pt>
                <c:pt idx="18">
                  <c:v>0.55145035999999803</c:v>
                </c:pt>
                <c:pt idx="19">
                  <c:v>0.57147263400000003</c:v>
                </c:pt>
                <c:pt idx="20">
                  <c:v>0.26395005799999999</c:v>
                </c:pt>
                <c:pt idx="21">
                  <c:v>0.44838790000000001</c:v>
                </c:pt>
                <c:pt idx="22">
                  <c:v>7.2872000000001005E-2</c:v>
                </c:pt>
              </c:numCache>
            </c:numRef>
          </c:xVal>
          <c:yVal>
            <c:numRef>
              <c:f>Regions!$AD$3:$AD$25</c:f>
              <c:numCache>
                <c:formatCode>General</c:formatCode>
                <c:ptCount val="23"/>
                <c:pt idx="0">
                  <c:v>0.468275104</c:v>
                </c:pt>
                <c:pt idx="1">
                  <c:v>1.2392925260000001</c:v>
                </c:pt>
                <c:pt idx="2">
                  <c:v>1.4378462700000001</c:v>
                </c:pt>
                <c:pt idx="3">
                  <c:v>0.58646029999999905</c:v>
                </c:pt>
                <c:pt idx="4">
                  <c:v>0.69866939399999795</c:v>
                </c:pt>
                <c:pt idx="5">
                  <c:v>0.29204350199999901</c:v>
                </c:pt>
                <c:pt idx="6">
                  <c:v>0.78831809600000002</c:v>
                </c:pt>
                <c:pt idx="7">
                  <c:v>0.21868411800000201</c:v>
                </c:pt>
                <c:pt idx="8">
                  <c:v>0.89965259999999903</c:v>
                </c:pt>
                <c:pt idx="9">
                  <c:v>1.0986361520000001</c:v>
                </c:pt>
                <c:pt idx="10">
                  <c:v>0</c:v>
                </c:pt>
                <c:pt idx="11">
                  <c:v>0.57531472400000006</c:v>
                </c:pt>
                <c:pt idx="12">
                  <c:v>0.101144158</c:v>
                </c:pt>
                <c:pt idx="13">
                  <c:v>0.68774515999999997</c:v>
                </c:pt>
                <c:pt idx="14">
                  <c:v>0.17984045199999901</c:v>
                </c:pt>
                <c:pt idx="15">
                  <c:v>1.01007498</c:v>
                </c:pt>
                <c:pt idx="16">
                  <c:v>-7.9442242000000399E-2</c:v>
                </c:pt>
                <c:pt idx="17">
                  <c:v>0.52870074600000105</c:v>
                </c:pt>
                <c:pt idx="18">
                  <c:v>1.153305448</c:v>
                </c:pt>
                <c:pt idx="19">
                  <c:v>1.5023629300000001</c:v>
                </c:pt>
                <c:pt idx="20">
                  <c:v>0.30035251800000001</c:v>
                </c:pt>
                <c:pt idx="21">
                  <c:v>1.198959262</c:v>
                </c:pt>
                <c:pt idx="22">
                  <c:v>0.76099723200000002</c:v>
                </c:pt>
              </c:numCache>
            </c:numRef>
          </c:yVal>
          <c:bubbleSize>
            <c:numRef>
              <c:f>Regions!$AE$3:$AE$25</c:f>
              <c:numCache>
                <c:formatCode>General</c:formatCode>
                <c:ptCount val="23"/>
                <c:pt idx="0">
                  <c:v>360.92599489999998</c:v>
                </c:pt>
                <c:pt idx="1">
                  <c:v>10869.73242</c:v>
                </c:pt>
                <c:pt idx="2">
                  <c:v>204471.76560000001</c:v>
                </c:pt>
                <c:pt idx="3">
                  <c:v>17969.355469999999</c:v>
                </c:pt>
                <c:pt idx="4">
                  <c:v>47520.667970000002</c:v>
                </c:pt>
                <c:pt idx="5">
                  <c:v>4847.8051759999998</c:v>
                </c:pt>
                <c:pt idx="6">
                  <c:v>11324.777340000001</c:v>
                </c:pt>
                <c:pt idx="7">
                  <c:v>10281.674800000001</c:v>
                </c:pt>
                <c:pt idx="8">
                  <c:v>16212.02246</c:v>
                </c:pt>
                <c:pt idx="9">
                  <c:v>6325.1210940000001</c:v>
                </c:pt>
                <c:pt idx="10">
                  <c:v>2.8359999660000001</c:v>
                </c:pt>
                <c:pt idx="11">
                  <c:v>16252.424800000001</c:v>
                </c:pt>
                <c:pt idx="12">
                  <c:v>767.43298340000001</c:v>
                </c:pt>
                <c:pt idx="13">
                  <c:v>9112.9042969999991</c:v>
                </c:pt>
                <c:pt idx="14">
                  <c:v>2891.0239259999998</c:v>
                </c:pt>
                <c:pt idx="15">
                  <c:v>121858.25</c:v>
                </c:pt>
                <c:pt idx="16">
                  <c:v>6223.2338870000003</c:v>
                </c:pt>
                <c:pt idx="17">
                  <c:v>3968.48999</c:v>
                </c:pt>
                <c:pt idx="18">
                  <c:v>6688.7460940000001</c:v>
                </c:pt>
                <c:pt idx="19">
                  <c:v>30470.738280000001</c:v>
                </c:pt>
                <c:pt idx="20">
                  <c:v>179.1309967</c:v>
                </c:pt>
                <c:pt idx="21">
                  <c:v>559.13598630000001</c:v>
                </c:pt>
                <c:pt idx="22">
                  <c:v>3412.0129390000002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8E9C-487F-8763-9F5917F6F115}"/>
            </c:ext>
          </c:extLst>
        </c:ser>
        <c:ser>
          <c:idx val="5"/>
          <c:order val="5"/>
          <c:tx>
            <c:v>Middle East &amp; North Africa</c:v>
          </c:tx>
          <c:spPr>
            <a:solidFill>
              <a:schemeClr val="accent6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Regions!$AH$3:$AH$10</c:f>
              <c:numCache>
                <c:formatCode>General</c:formatCode>
                <c:ptCount val="8"/>
                <c:pt idx="0">
                  <c:v>0.20555368599999899</c:v>
                </c:pt>
                <c:pt idx="1">
                  <c:v>6.6691683999999904E-2</c:v>
                </c:pt>
                <c:pt idx="2">
                  <c:v>0.82246198999999898</c:v>
                </c:pt>
                <c:pt idx="3">
                  <c:v>-1.3296389999999301E-2</c:v>
                </c:pt>
                <c:pt idx="4">
                  <c:v>1.33024236</c:v>
                </c:pt>
                <c:pt idx="5">
                  <c:v>0.38590781000000102</c:v>
                </c:pt>
                <c:pt idx="6">
                  <c:v>0.29968445599999999</c:v>
                </c:pt>
                <c:pt idx="7">
                  <c:v>8.3249139999998098E-2</c:v>
                </c:pt>
              </c:numCache>
            </c:numRef>
          </c:xVal>
          <c:yVal>
            <c:numRef>
              <c:f>Regions!$AI$3:$AI$10</c:f>
              <c:numCache>
                <c:formatCode>General</c:formatCode>
                <c:ptCount val="8"/>
                <c:pt idx="0">
                  <c:v>0.33696620999999999</c:v>
                </c:pt>
                <c:pt idx="1">
                  <c:v>0.10619144599999999</c:v>
                </c:pt>
                <c:pt idx="2">
                  <c:v>2.0136873340000001</c:v>
                </c:pt>
                <c:pt idx="3">
                  <c:v>-1.0167340000001E-2</c:v>
                </c:pt>
                <c:pt idx="4">
                  <c:v>2.6347200439999998</c:v>
                </c:pt>
                <c:pt idx="5">
                  <c:v>0.37677429000000001</c:v>
                </c:pt>
                <c:pt idx="6">
                  <c:v>0.29831786799999899</c:v>
                </c:pt>
                <c:pt idx="7">
                  <c:v>0.13940798000000101</c:v>
                </c:pt>
              </c:numCache>
            </c:numRef>
          </c:yVal>
          <c:bubbleSize>
            <c:numRef>
              <c:f>Regions!$AJ$3:$AJ$10</c:f>
              <c:numCache>
                <c:formatCode>General</c:formatCode>
                <c:ptCount val="8"/>
                <c:pt idx="0">
                  <c:v>39728.019529999998</c:v>
                </c:pt>
                <c:pt idx="1">
                  <c:v>92442.546879999994</c:v>
                </c:pt>
                <c:pt idx="2">
                  <c:v>35572.269529999998</c:v>
                </c:pt>
                <c:pt idx="3">
                  <c:v>9266.5732420000004</c:v>
                </c:pt>
                <c:pt idx="4">
                  <c:v>34663.609380000002</c:v>
                </c:pt>
                <c:pt idx="5">
                  <c:v>4267.3408200000003</c:v>
                </c:pt>
                <c:pt idx="6">
                  <c:v>38902.949220000002</c:v>
                </c:pt>
                <c:pt idx="7">
                  <c:v>17997.410159999999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8E9C-487F-8763-9F5917F6F115}"/>
            </c:ext>
          </c:extLst>
        </c:ser>
        <c:ser>
          <c:idx val="6"/>
          <c:order val="6"/>
          <c:tx>
            <c:v>North America</c:v>
          </c:tx>
          <c:spPr>
            <a:solidFill>
              <a:schemeClr val="accent1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Regions!$AM$3:$AM$5</c:f>
              <c:numCache>
                <c:formatCode>General</c:formatCode>
                <c:ptCount val="3"/>
                <c:pt idx="0">
                  <c:v>-1.48214600000074E-3</c:v>
                </c:pt>
                <c:pt idx="1">
                  <c:v>3.3999999971001697E-7</c:v>
                </c:pt>
                <c:pt idx="2">
                  <c:v>8.7273784000001298E-2</c:v>
                </c:pt>
              </c:numCache>
            </c:numRef>
          </c:xVal>
          <c:yVal>
            <c:numRef>
              <c:f>Regions!$AN$3:$AN$5</c:f>
              <c:numCache>
                <c:formatCode>General</c:formatCode>
                <c:ptCount val="3"/>
                <c:pt idx="0">
                  <c:v>4.8860164000001302E-2</c:v>
                </c:pt>
                <c:pt idx="1">
                  <c:v>0</c:v>
                </c:pt>
                <c:pt idx="2">
                  <c:v>0.37813376600000198</c:v>
                </c:pt>
              </c:numCache>
            </c:numRef>
          </c:yVal>
          <c:bubbleSize>
            <c:numRef>
              <c:f>Regions!$AO$3:$AO$5</c:f>
              <c:numCache>
                <c:formatCode>General</c:formatCode>
                <c:ptCount val="3"/>
                <c:pt idx="0">
                  <c:v>36026.667970000002</c:v>
                </c:pt>
                <c:pt idx="1">
                  <c:v>56.377998349999999</c:v>
                </c:pt>
                <c:pt idx="2">
                  <c:v>320878.3125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8E9C-487F-8763-9F5917F6F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870600431"/>
        <c:axId val="766084079"/>
      </c:bubbleChart>
      <c:valAx>
        <c:axId val="870600431"/>
        <c:scaling>
          <c:orientation val="minMax"/>
          <c:max val="3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National ARC (percentage points per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84079"/>
        <c:crosses val="autoZero"/>
        <c:crossBetween val="midCat"/>
      </c:valAx>
      <c:valAx>
        <c:axId val="766084079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Rural ARC (percentage points per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0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1224643</xdr:colOff>
      <xdr:row>1</xdr:row>
      <xdr:rowOff>147586</xdr:rowOff>
    </xdr:from>
    <xdr:to>
      <xdr:col>5</xdr:col>
      <xdr:colOff>464840</xdr:colOff>
      <xdr:row>21</xdr:row>
      <xdr:rowOff>57255</xdr:rowOff>
    </xdr:to>
    <xdr:graphicFrame macro="">
      <xdr:nvGraphicFramePr>
        <xdr:cNvPr id="3" name="YearHistogram">
          <a:extLst>
            <a:ext uri="{FF2B5EF4-FFF2-40B4-BE49-F238E27FC236}">
              <a16:creationId xmlns:a16="http://schemas.microsoft.com/office/drawing/2014/main" id="{A5DDE761-56B2-11FF-CA42-E5C0BCC90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5201</xdr:colOff>
      <xdr:row>11</xdr:row>
      <xdr:rowOff>6349</xdr:rowOff>
    </xdr:from>
    <xdr:to>
      <xdr:col>15</xdr:col>
      <xdr:colOff>619571</xdr:colOff>
      <xdr:row>34</xdr:row>
      <xdr:rowOff>75014</xdr:rowOff>
    </xdr:to>
    <xdr:graphicFrame macro="">
      <xdr:nvGraphicFramePr>
        <xdr:cNvPr id="2" name="ARCdiffHistogram">
          <a:extLst>
            <a:ext uri="{FF2B5EF4-FFF2-40B4-BE49-F238E27FC236}">
              <a16:creationId xmlns:a16="http://schemas.microsoft.com/office/drawing/2014/main" id="{9C019617-7372-7F6C-0DCD-9BDF78657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19538</xdr:colOff>
      <xdr:row>13</xdr:row>
      <xdr:rowOff>155575</xdr:rowOff>
    </xdr:from>
    <xdr:to>
      <xdr:col>31</xdr:col>
      <xdr:colOff>450500</xdr:colOff>
      <xdr:row>48</xdr:row>
      <xdr:rowOff>16224</xdr:rowOff>
    </xdr:to>
    <xdr:graphicFrame macro="">
      <xdr:nvGraphicFramePr>
        <xdr:cNvPr id="4" name="RegionBubble">
          <a:extLst>
            <a:ext uri="{FF2B5EF4-FFF2-40B4-BE49-F238E27FC236}">
              <a16:creationId xmlns:a16="http://schemas.microsoft.com/office/drawing/2014/main" id="{DBBEC3CE-9D3C-07D1-65FF-EE44DDFF2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2A7348-C553-4E96-9AE7-A37D4BE7C36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beff6a-6ba0-492f-9bd2-1ae0e80bdfc8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B31"/>
  <sheetViews>
    <sheetView workbookViewId="0">
      <selection activeCell="B11" sqref="B11"/>
    </sheetView>
  </sheetViews>
  <sheetFormatPr defaultColWidth="12.5703125" defaultRowHeight="15.75" customHeight="1"/>
  <cols>
    <col min="1" max="1" width="20.85546875" style="47" customWidth="1"/>
    <col min="2" max="2" width="114.140625" style="47" customWidth="1"/>
    <col min="3" max="16384" width="12.5703125" style="47"/>
  </cols>
  <sheetData>
    <row r="2" spans="1:2" ht="12.75">
      <c r="A2" s="46" t="s">
        <v>0</v>
      </c>
    </row>
    <row r="3" spans="1:2" ht="12.75">
      <c r="A3" s="47" t="s">
        <v>343</v>
      </c>
    </row>
    <row r="4" spans="1:2" ht="12.75"/>
    <row r="5" spans="1:2" ht="12.75">
      <c r="A5" s="46" t="s">
        <v>339</v>
      </c>
    </row>
    <row r="6" spans="1:2" ht="12.75">
      <c r="A6" s="47">
        <v>1</v>
      </c>
      <c r="B6" s="47" t="s">
        <v>326</v>
      </c>
    </row>
    <row r="7" spans="1:2" ht="12.75">
      <c r="A7" s="47">
        <v>2</v>
      </c>
      <c r="B7" s="47" t="s">
        <v>327</v>
      </c>
    </row>
    <row r="8" spans="1:2" ht="12.75">
      <c r="A8" s="47">
        <v>3</v>
      </c>
      <c r="B8" s="47" t="s">
        <v>328</v>
      </c>
    </row>
    <row r="9" spans="1:2" ht="12.75"/>
    <row r="10" spans="1:2" ht="12.75">
      <c r="A10" s="46" t="s">
        <v>41</v>
      </c>
    </row>
    <row r="11" spans="1:2" ht="27.95" customHeight="1">
      <c r="A11" s="49">
        <v>1</v>
      </c>
      <c r="B11" s="48" t="s">
        <v>340</v>
      </c>
    </row>
    <row r="12" spans="1:2" ht="25.5">
      <c r="A12" s="49">
        <v>2</v>
      </c>
      <c r="B12" s="48" t="s">
        <v>341</v>
      </c>
    </row>
    <row r="13" spans="1:2" ht="27.95" customHeight="1">
      <c r="A13" s="49">
        <v>3</v>
      </c>
      <c r="B13" s="50" t="s">
        <v>342</v>
      </c>
    </row>
    <row r="14" spans="1:2" ht="12.75"/>
    <row r="15" spans="1:2" ht="12.75">
      <c r="A15" s="46" t="s">
        <v>4</v>
      </c>
    </row>
    <row r="16" spans="1:2" ht="15" customHeight="1">
      <c r="A16" s="47" t="s">
        <v>7</v>
      </c>
      <c r="B16" s="47" t="s">
        <v>8</v>
      </c>
    </row>
    <row r="17" spans="1:2" ht="15" customHeight="1">
      <c r="A17" s="47" t="s">
        <v>9</v>
      </c>
      <c r="B17" s="47" t="s">
        <v>344</v>
      </c>
    </row>
    <row r="18" spans="1:2" ht="15" customHeight="1">
      <c r="A18" s="47" t="s">
        <v>14</v>
      </c>
      <c r="B18" s="47" t="s">
        <v>345</v>
      </c>
    </row>
    <row r="19" spans="1:2" ht="15" customHeight="1">
      <c r="A19" s="47" t="s">
        <v>17</v>
      </c>
      <c r="B19" s="47" t="s">
        <v>346</v>
      </c>
    </row>
    <row r="20" spans="1:2" ht="15" customHeight="1">
      <c r="A20" s="47" t="s">
        <v>6</v>
      </c>
      <c r="B20" s="47" t="s">
        <v>347</v>
      </c>
    </row>
    <row r="21" spans="1:2" ht="15" customHeight="1">
      <c r="A21" s="47" t="s">
        <v>23</v>
      </c>
      <c r="B21" s="47" t="s">
        <v>348</v>
      </c>
    </row>
    <row r="22" spans="1:2" ht="15" customHeight="1">
      <c r="A22" s="47" t="s">
        <v>26</v>
      </c>
      <c r="B22" s="47" t="s">
        <v>349</v>
      </c>
    </row>
    <row r="23" spans="1:2" ht="15" customHeight="1">
      <c r="A23" s="47" t="s">
        <v>15</v>
      </c>
      <c r="B23" s="47" t="s">
        <v>350</v>
      </c>
    </row>
    <row r="24" spans="1:2" ht="15" customHeight="1">
      <c r="A24" s="47" t="s">
        <v>31</v>
      </c>
      <c r="B24" s="47" t="s">
        <v>351</v>
      </c>
    </row>
    <row r="25" spans="1:2" ht="15" customHeight="1">
      <c r="A25" s="47" t="s">
        <v>24</v>
      </c>
      <c r="B25" s="47" t="s">
        <v>35</v>
      </c>
    </row>
    <row r="26" spans="1:2" ht="15" customHeight="1">
      <c r="A26" s="47" t="s">
        <v>16</v>
      </c>
      <c r="B26" s="47" t="s">
        <v>352</v>
      </c>
    </row>
    <row r="27" spans="1:2" ht="15" customHeight="1">
      <c r="A27" s="47" t="s">
        <v>33</v>
      </c>
      <c r="B27" s="47" t="s">
        <v>36</v>
      </c>
    </row>
    <row r="28" spans="1:2" ht="15" customHeight="1">
      <c r="A28" s="47" t="s">
        <v>25</v>
      </c>
      <c r="B28" s="47" t="s">
        <v>37</v>
      </c>
    </row>
    <row r="29" spans="1:2" ht="15" customHeight="1">
      <c r="A29" s="47" t="s">
        <v>10</v>
      </c>
      <c r="B29" s="47" t="s">
        <v>38</v>
      </c>
    </row>
    <row r="30" spans="1:2" ht="15" customHeight="1">
      <c r="A30" s="47" t="s">
        <v>27</v>
      </c>
      <c r="B30" s="47" t="s">
        <v>353</v>
      </c>
    </row>
    <row r="31" spans="1:2" ht="15" customHeight="1">
      <c r="A31" s="47" t="s">
        <v>18</v>
      </c>
      <c r="B31" s="4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463"/>
  <sheetViews>
    <sheetView workbookViewId="0">
      <pane ySplit="1" topLeftCell="A447" activePane="bottomLeft" state="frozen"/>
      <selection pane="bottomLeft" activeCell="B3" sqref="B3"/>
    </sheetView>
  </sheetViews>
  <sheetFormatPr defaultColWidth="12.5703125" defaultRowHeight="15.75" customHeight="1"/>
  <cols>
    <col min="1" max="1" width="19.85546875" customWidth="1"/>
    <col min="2" max="2" width="22.5703125" customWidth="1"/>
    <col min="9" max="9" width="17.42578125" customWidth="1"/>
    <col min="10" max="10" width="15.5703125" customWidth="1"/>
    <col min="15" max="15" width="15.140625" customWidth="1"/>
    <col min="16" max="16" width="15.5703125" customWidth="1"/>
    <col min="22" max="22" width="14.42578125" customWidth="1"/>
    <col min="23" max="23" width="16.7109375" customWidth="1"/>
  </cols>
  <sheetData>
    <row r="1" spans="1:37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24</v>
      </c>
      <c r="T1" s="1" t="s">
        <v>25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32</v>
      </c>
      <c r="Z1" s="1" t="s">
        <v>31</v>
      </c>
      <c r="AA1" s="1" t="s">
        <v>33</v>
      </c>
      <c r="AB1" s="1" t="s">
        <v>34</v>
      </c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2" t="s">
        <v>40</v>
      </c>
      <c r="B2" s="2" t="str">
        <f>VLOOKUP(A2,Regions!A:B,2,0)</f>
        <v>South Asia</v>
      </c>
      <c r="C2" s="2">
        <v>2015</v>
      </c>
      <c r="D2" s="2">
        <f>IF(A3=A2,ABS(C3-C2),"")</f>
        <v>5</v>
      </c>
      <c r="E2" s="2">
        <f>IFERROR(IF(A3=A2,((H2-H3)/(C2-C3)), ""), "null")</f>
        <v>2.7503264880000002</v>
      </c>
      <c r="F2" s="2">
        <v>34413.601560000003</v>
      </c>
      <c r="G2" s="2">
        <v>24.802999499999999</v>
      </c>
      <c r="H2" s="2">
        <v>61.339780810000001</v>
      </c>
      <c r="I2" s="2">
        <f>IFERROR(ROUND(H2,0),"null")</f>
        <v>61</v>
      </c>
      <c r="J2" s="2" t="str">
        <f>IF(AND(A3=A2,I2=100,I3=100),"full access", " ")</f>
        <v xml:space="preserve"> </v>
      </c>
      <c r="K2" s="2">
        <v>3.5111995139999999</v>
      </c>
      <c r="L2" s="2">
        <v>22.168783829999999</v>
      </c>
      <c r="M2" s="2">
        <v>12.98023585</v>
      </c>
      <c r="N2" s="2">
        <v>52.988502019999999</v>
      </c>
      <c r="O2" s="2">
        <f>IFERROR(ROUND(N2,0),"null")</f>
        <v>53</v>
      </c>
      <c r="P2" s="2" t="str">
        <f>IF(AND(A2=A3,O2=100,O3=100),"full access"," ")</f>
        <v xml:space="preserve"> </v>
      </c>
      <c r="Q2" s="2">
        <f>IFERROR(IF(A3=A2,((N2-N3)/(C2-C3)),""),"null")</f>
        <v>2.6678826380000005</v>
      </c>
      <c r="R2" s="2">
        <v>3.8611366170000001</v>
      </c>
      <c r="S2" s="2">
        <v>26.553267569999999</v>
      </c>
      <c r="T2" s="2">
        <v>16.597093789999999</v>
      </c>
      <c r="U2" s="2">
        <v>86.658940720000004</v>
      </c>
      <c r="V2" s="2">
        <f>IFERROR(ROUND(U2,0),"null")</f>
        <v>87</v>
      </c>
      <c r="W2" s="2" t="str">
        <f>IF(AND(A2=A3,V2=100,V3=100),"full access","")</f>
        <v/>
      </c>
      <c r="X2" s="2">
        <f>IFERROR(IF(A3=A2,((U2-U3)/(C2-C3)),""),"null")</f>
        <v>2.6682118559999992</v>
      </c>
      <c r="Y2" s="2">
        <v>2.450270561</v>
      </c>
      <c r="Z2" s="2">
        <v>8.8760357320000001</v>
      </c>
      <c r="AA2" s="2">
        <v>2.0147529870000001</v>
      </c>
      <c r="AB2" s="2">
        <f>IFERROR(IF(A3=A2, Q2-X2, ""), "null")</f>
        <v>-3.2921799999874324E-4</v>
      </c>
    </row>
    <row r="3" spans="1:37">
      <c r="A3" s="2" t="s">
        <v>40</v>
      </c>
      <c r="B3" s="2" t="str">
        <f>VLOOKUP(A3,Regions!A:B,2,0)</f>
        <v>South Asia</v>
      </c>
      <c r="C3" s="2">
        <v>2020</v>
      </c>
      <c r="D3" s="2" t="str">
        <f>IF(A4=A3,ABS(C4-C3),"")</f>
        <v/>
      </c>
      <c r="E3" s="2" t="str">
        <f>IFERROR(IF(A4=A3,((H3-H4)/(C3-C4)), ""), "null")</f>
        <v/>
      </c>
      <c r="F3" s="2">
        <v>38928.339840000001</v>
      </c>
      <c r="G3" s="2">
        <v>26.025999070000001</v>
      </c>
      <c r="H3" s="2">
        <v>75.091413250000002</v>
      </c>
      <c r="I3" s="2">
        <f>IFERROR(ROUND(H3,0),"null")</f>
        <v>75</v>
      </c>
      <c r="J3" s="2" t="str">
        <f>IF(AND(A4=A3,I3=100,I4=100),"full access", " ")</f>
        <v xml:space="preserve"> </v>
      </c>
      <c r="K3" s="2">
        <v>1.447541688</v>
      </c>
      <c r="L3" s="2">
        <v>14.56026288</v>
      </c>
      <c r="M3" s="2">
        <v>8.9007821739999997</v>
      </c>
      <c r="N3" s="2">
        <v>66.32791521</v>
      </c>
      <c r="O3" s="2">
        <f>IFERROR(ROUND(N3,0),"null")</f>
        <v>66</v>
      </c>
      <c r="P3" s="2" t="str">
        <f>IF(AND(A3=A4,O3=100,O4=100),"full access"," ")</f>
        <v xml:space="preserve"> </v>
      </c>
      <c r="Q3" s="2" t="str">
        <f>IFERROR(IF(A4=A3,((N3-N4)/(C3-C4)),""),"null")</f>
        <v/>
      </c>
      <c r="R3" s="2">
        <v>1.9568248509999999</v>
      </c>
      <c r="S3" s="2">
        <v>19.68294895</v>
      </c>
      <c r="T3" s="2">
        <v>12.03231098</v>
      </c>
      <c r="U3" s="2">
        <v>100</v>
      </c>
      <c r="V3" s="2">
        <f>IFERROR(ROUND(U3,0),"null")</f>
        <v>100</v>
      </c>
      <c r="W3" s="2" t="str">
        <f>IF(AND(A3=A4,V3=100,V4=100),"full access","")</f>
        <v/>
      </c>
      <c r="X3" s="2" t="str">
        <f>IFERROR(IF(A4=A3,((U3-U4)/(C3-C4)),""),"null")</f>
        <v/>
      </c>
      <c r="Y3" s="2">
        <v>0</v>
      </c>
      <c r="Z3" s="2">
        <v>0</v>
      </c>
      <c r="AA3" s="2">
        <v>0</v>
      </c>
      <c r="AB3" s="2" t="str">
        <f>IFERROR(IF(A4=A3, Q3-X3, ""), "null")</f>
        <v/>
      </c>
    </row>
    <row r="4" spans="1:37">
      <c r="A4" s="2" t="s">
        <v>42</v>
      </c>
      <c r="B4" s="2" t="str">
        <f>VLOOKUP(A4,Regions!A:B,2,0)</f>
        <v>Europe &amp; Central Asia</v>
      </c>
      <c r="C4" s="2">
        <v>2015</v>
      </c>
      <c r="D4" s="2">
        <f>IF(A5=A4,ABS(C5-C4),"")</f>
        <v>5</v>
      </c>
      <c r="E4" s="2">
        <f>IFERROR(IF(A5=A4,((H4-H5)/(C4-C5)), ""), "null")</f>
        <v>0.33474269800000228</v>
      </c>
      <c r="F4" s="2">
        <v>2890.5239259999998</v>
      </c>
      <c r="G4" s="2">
        <v>57.433998109999997</v>
      </c>
      <c r="H4" s="2">
        <v>93.394325339999995</v>
      </c>
      <c r="I4" s="2">
        <f>IFERROR(ROUND(H4,0),"null")</f>
        <v>93</v>
      </c>
      <c r="J4" s="2" t="str">
        <f>IF(AND(A5=A4,I4=100,I5=100),"full access", " ")</f>
        <v xml:space="preserve"> </v>
      </c>
      <c r="K4" s="2">
        <v>3.626383658</v>
      </c>
      <c r="L4" s="2">
        <v>2.9792910039999998</v>
      </c>
      <c r="M4" s="2">
        <v>0</v>
      </c>
      <c r="N4" s="2">
        <v>90.627274610000001</v>
      </c>
      <c r="O4" s="2">
        <f>IFERROR(ROUND(N4,0),"null")</f>
        <v>91</v>
      </c>
      <c r="P4" s="2" t="str">
        <f>IF(AND(A4=A5,O4=100,O5=100),"full access"," ")</f>
        <v xml:space="preserve"> </v>
      </c>
      <c r="Q4" s="2">
        <f>IFERROR(IF(A5=A4,((N4-N5)/(C4-C5)),""),"null")</f>
        <v>0.69281669000000079</v>
      </c>
      <c r="R4" s="2">
        <v>5.2631726480000003</v>
      </c>
      <c r="S4" s="2">
        <v>4.1095527440000001</v>
      </c>
      <c r="T4" s="2">
        <v>0</v>
      </c>
      <c r="U4" s="2">
        <v>95.445066960000005</v>
      </c>
      <c r="V4" s="2">
        <f>IFERROR(ROUND(U4,0),"null")</f>
        <v>95</v>
      </c>
      <c r="W4" s="2" t="str">
        <f>IF(AND(A4=A5,V4=100,V5=100),"full access","")</f>
        <v/>
      </c>
      <c r="X4" s="2">
        <f>IFERROR(IF(A5=A4,((U4-U5)/(C4-C5)),""),"null")</f>
        <v>4.3748431999998158E-2</v>
      </c>
      <c r="Y4" s="2">
        <v>2.4133118200000001</v>
      </c>
      <c r="Z4" s="2">
        <v>2.1416212159999999</v>
      </c>
      <c r="AA4" s="2">
        <v>0</v>
      </c>
      <c r="AB4" s="2">
        <f>IFERROR(IF(A5=A4, Q4-X4, ""), "null")</f>
        <v>0.64906825800000267</v>
      </c>
    </row>
    <row r="5" spans="1:37">
      <c r="A5" s="2" t="s">
        <v>42</v>
      </c>
      <c r="B5" s="2" t="str">
        <f>VLOOKUP(A5,Regions!A:B,2,0)</f>
        <v>Europe &amp; Central Asia</v>
      </c>
      <c r="C5" s="2">
        <v>2020</v>
      </c>
      <c r="D5" s="2" t="str">
        <f>IF(A6=A5,ABS(C6-C5),"")</f>
        <v/>
      </c>
      <c r="E5" s="2" t="str">
        <f>IFERROR(IF(A6=A5,((H5-H6)/(C5-C6)), ""), "null")</f>
        <v/>
      </c>
      <c r="F5" s="2">
        <v>2877.8000489999999</v>
      </c>
      <c r="G5" s="2">
        <v>62.111999509999997</v>
      </c>
      <c r="H5" s="2">
        <v>95.068038830000006</v>
      </c>
      <c r="I5" s="2">
        <f>IFERROR(ROUND(H5,0),"null")</f>
        <v>95</v>
      </c>
      <c r="J5" s="2" t="str">
        <f>IF(AND(A6=A5,I5=100,I6=100),"full access", " ")</f>
        <v xml:space="preserve"> </v>
      </c>
      <c r="K5" s="2">
        <v>1.8846560919999999</v>
      </c>
      <c r="L5" s="2">
        <v>3.0473050810000002</v>
      </c>
      <c r="M5" s="2">
        <v>0</v>
      </c>
      <c r="N5" s="2">
        <v>94.091358060000005</v>
      </c>
      <c r="O5" s="2">
        <f>IFERROR(ROUND(N5,0),"null")</f>
        <v>94</v>
      </c>
      <c r="P5" s="2" t="str">
        <f>IF(AND(A5=A6,O5=100,O6=100),"full access"," ")</f>
        <v xml:space="preserve"> </v>
      </c>
      <c r="Q5" s="2" t="str">
        <f>IFERROR(IF(A6=A5,((N5-N6)/(C5-C6)),""),"null")</f>
        <v/>
      </c>
      <c r="R5" s="2">
        <v>2.3052649550000002</v>
      </c>
      <c r="S5" s="2">
        <v>3.6033769859999998</v>
      </c>
      <c r="T5" s="2">
        <v>0</v>
      </c>
      <c r="U5" s="2">
        <v>95.663809119999996</v>
      </c>
      <c r="V5" s="2">
        <f>IFERROR(ROUND(U5,0),"null")</f>
        <v>96</v>
      </c>
      <c r="W5" s="2" t="str">
        <f>IF(AND(A5=A6,V5=100,V6=100),"full access","")</f>
        <v/>
      </c>
      <c r="X5" s="2" t="str">
        <f>IFERROR(IF(A6=A5,((U5-U6)/(C5-C6)),""),"null")</f>
        <v/>
      </c>
      <c r="Y5" s="2">
        <v>1.62808683</v>
      </c>
      <c r="Z5" s="2">
        <v>2.7081040540000001</v>
      </c>
      <c r="AA5" s="2">
        <v>0</v>
      </c>
      <c r="AB5" s="2" t="str">
        <f>IFERROR(IF(A6=A5, Q5-X5, ""), "null")</f>
        <v/>
      </c>
    </row>
    <row r="6" spans="1:37">
      <c r="A6" s="2" t="s">
        <v>43</v>
      </c>
      <c r="B6" s="2" t="str">
        <f>VLOOKUP(A6,Regions!A:B,2,0)</f>
        <v>Middle East &amp; North Africa</v>
      </c>
      <c r="C6" s="2">
        <v>2015</v>
      </c>
      <c r="D6" s="2">
        <f>IF(A7=A6,ABS(C7-C6),"")</f>
        <v>5</v>
      </c>
      <c r="E6" s="2">
        <f>IFERROR(IF(A7=A6,((H6-H7)/(C6-C7)), ""), "null")</f>
        <v>0.20555368599999896</v>
      </c>
      <c r="F6" s="2">
        <v>39728.019529999998</v>
      </c>
      <c r="G6" s="2">
        <v>70.847999569999999</v>
      </c>
      <c r="H6" s="2">
        <v>93.409561530000005</v>
      </c>
      <c r="I6" s="2">
        <f>IFERROR(ROUND(H6,0),"null")</f>
        <v>93</v>
      </c>
      <c r="J6" s="2" t="str">
        <f>IF(AND(A7=A6,I6=100,I7=100),"full access", " ")</f>
        <v xml:space="preserve"> </v>
      </c>
      <c r="K6" s="2">
        <v>5.157780893</v>
      </c>
      <c r="L6" s="2">
        <v>1.2754646839999999</v>
      </c>
      <c r="M6" s="2">
        <v>0.1571928913</v>
      </c>
      <c r="N6" s="2">
        <v>88.352706859999998</v>
      </c>
      <c r="O6" s="2">
        <f>IFERROR(ROUND(N6,0),"null")</f>
        <v>88</v>
      </c>
      <c r="P6" s="2" t="str">
        <f>IF(AND(A6=A7,O6=100,O7=100),"full access"," ")</f>
        <v xml:space="preserve"> </v>
      </c>
      <c r="Q6" s="2">
        <f>IFERROR(IF(A7=A6,((N6-N7)/(C6-C7)),""),"null")</f>
        <v>0.33696620999999993</v>
      </c>
      <c r="R6" s="2">
        <v>8.6857531209999994</v>
      </c>
      <c r="S6" s="2">
        <v>2.580431801</v>
      </c>
      <c r="T6" s="2">
        <v>0.38110821550000001</v>
      </c>
      <c r="U6" s="2">
        <v>95.490314699999999</v>
      </c>
      <c r="V6" s="2">
        <f>IFERROR(ROUND(U6,0),"null")</f>
        <v>95</v>
      </c>
      <c r="W6" s="2" t="str">
        <f>IF(AND(A6=A7,V6=100,V7=100),"full access","")</f>
        <v/>
      </c>
      <c r="X6" s="2">
        <f>IFERROR(IF(A7=A6,((U6-U7)/(C6-C7)),""),"null")</f>
        <v>0.10288423199999955</v>
      </c>
      <c r="Y6" s="2">
        <v>3.7061173169999999</v>
      </c>
      <c r="Z6" s="2">
        <v>0.73851008510000005</v>
      </c>
      <c r="AA6" s="2">
        <v>6.5057897530000006E-2</v>
      </c>
      <c r="AB6" s="2">
        <f>IFERROR(IF(A7=A6, Q6-X6, ""), "null")</f>
        <v>0.23408197800000038</v>
      </c>
    </row>
    <row r="7" spans="1:37">
      <c r="A7" s="2" t="s">
        <v>43</v>
      </c>
      <c r="B7" s="2" t="str">
        <f>VLOOKUP(A7,Regions!A:B,2,0)</f>
        <v>Middle East &amp; North Africa</v>
      </c>
      <c r="C7" s="2">
        <v>2020</v>
      </c>
      <c r="D7" s="2" t="str">
        <f>IF(A8=A7,ABS(C8-C7),"")</f>
        <v/>
      </c>
      <c r="E7" s="2" t="str">
        <f>IFERROR(IF(A8=A7,((H7-H8)/(C7-C8)), ""), "null")</f>
        <v/>
      </c>
      <c r="F7" s="2">
        <v>43851.042970000002</v>
      </c>
      <c r="G7" s="2">
        <v>73.733001709999996</v>
      </c>
      <c r="H7" s="2">
        <v>94.43732996</v>
      </c>
      <c r="I7" s="2">
        <f>IFERROR(ROUND(H7,0),"null")</f>
        <v>94</v>
      </c>
      <c r="J7" s="2" t="str">
        <f>IF(AND(A8=A7,I7=100,I8=100),"full access", " ")</f>
        <v xml:space="preserve"> </v>
      </c>
      <c r="K7" s="2">
        <v>4.9858808420000003</v>
      </c>
      <c r="L7" s="2">
        <v>0.53183666380000005</v>
      </c>
      <c r="M7" s="2">
        <v>4.495253272E-2</v>
      </c>
      <c r="N7" s="2">
        <v>90.037537909999998</v>
      </c>
      <c r="O7" s="2">
        <f>IFERROR(ROUND(N7,0),"null")</f>
        <v>90</v>
      </c>
      <c r="P7" s="2" t="str">
        <f>IF(AND(A7=A8,O7=100,O8=100),"full access"," ")</f>
        <v xml:space="preserve"> </v>
      </c>
      <c r="Q7" s="2" t="str">
        <f>IFERROR(IF(A8=A7,((N7-N8)/(C7-C8)),""),"null")</f>
        <v/>
      </c>
      <c r="R7" s="2">
        <v>8.79672214</v>
      </c>
      <c r="S7" s="2">
        <v>0.99460302810000001</v>
      </c>
      <c r="T7" s="2">
        <v>0.17113692580000001</v>
      </c>
      <c r="U7" s="2">
        <v>96.004735859999997</v>
      </c>
      <c r="V7" s="2">
        <f>IFERROR(ROUND(U7,0),"null")</f>
        <v>96</v>
      </c>
      <c r="W7" s="2" t="str">
        <f>IF(AND(A7=A8,V7=100,V8=100),"full access","")</f>
        <v/>
      </c>
      <c r="X7" s="2" t="str">
        <f>IFERROR(IF(A8=A7,((U7-U8)/(C7-C8)),""),"null")</f>
        <v/>
      </c>
      <c r="Y7" s="2">
        <v>3.628288591</v>
      </c>
      <c r="Z7" s="2">
        <v>0.36697554780000002</v>
      </c>
      <c r="AA7" s="2">
        <v>0</v>
      </c>
      <c r="AB7" s="2" t="str">
        <f>IFERROR(IF(A8=A7, Q7-X7, ""), "null")</f>
        <v/>
      </c>
    </row>
    <row r="8" spans="1:37">
      <c r="A8" s="2" t="s">
        <v>44</v>
      </c>
      <c r="B8" s="2" t="str">
        <f>VLOOKUP(A8,Regions!A:B,2,0)</f>
        <v>East Asia &amp; Pacific</v>
      </c>
      <c r="C8" s="2">
        <v>2015</v>
      </c>
      <c r="D8" s="2">
        <f>IF(A9=A8,ABS(C9-C8),"")</f>
        <v>5</v>
      </c>
      <c r="E8" s="2">
        <f>IFERROR(IF(A9=A8,((H8-H9)/(C8-C9)), ""), "null")</f>
        <v>3.0933701999998675E-2</v>
      </c>
      <c r="F8" s="2">
        <v>55.805999759999999</v>
      </c>
      <c r="G8" s="2">
        <v>87.238006589999998</v>
      </c>
      <c r="H8" s="2">
        <v>99.619103150000001</v>
      </c>
      <c r="I8" s="2">
        <f>IFERROR(ROUND(H8,0),"null")</f>
        <v>100</v>
      </c>
      <c r="J8" s="2" t="str">
        <f>IF(AND(A9=A8,I8=100,I9=100),"full access", " ")</f>
        <v>full access</v>
      </c>
      <c r="K8" s="2">
        <v>0</v>
      </c>
      <c r="L8" s="2">
        <v>0.38089684610000002</v>
      </c>
      <c r="M8" s="2">
        <v>0</v>
      </c>
      <c r="N8" s="2" t="s">
        <v>45</v>
      </c>
      <c r="O8" s="2" t="str">
        <f>IFERROR(ROUND(N8,0),"null")</f>
        <v>null</v>
      </c>
      <c r="P8" s="2" t="str">
        <f>IF(AND(A8=A9,O8=100,O9=100),"full access"," ")</f>
        <v xml:space="preserve"> </v>
      </c>
      <c r="Q8" s="2" t="str">
        <f>IFERROR(IF(A9=A8,((N8-N9)/(C8-C9)),""),"null")</f>
        <v>null</v>
      </c>
      <c r="R8" s="2" t="s">
        <v>45</v>
      </c>
      <c r="S8" s="2" t="s">
        <v>45</v>
      </c>
      <c r="T8" s="2" t="s">
        <v>45</v>
      </c>
      <c r="U8" s="2" t="s">
        <v>45</v>
      </c>
      <c r="V8" s="2" t="str">
        <f>IFERROR(ROUND(U8,0),"null")</f>
        <v>null</v>
      </c>
      <c r="W8" s="2" t="str">
        <f>IF(AND(A8=A9,V8=100,V9=100),"full access","")</f>
        <v/>
      </c>
      <c r="X8" s="2" t="str">
        <f>IFERROR(IF(A9=A8,((U8-U9)/(C8-C9)),""),"null")</f>
        <v>null</v>
      </c>
      <c r="Y8" s="2" t="s">
        <v>45</v>
      </c>
      <c r="Z8" s="2" t="s">
        <v>45</v>
      </c>
      <c r="AA8" s="2" t="s">
        <v>45</v>
      </c>
      <c r="AB8" s="2" t="str">
        <f>IFERROR(IF(A9=A8, Q8-X8, ""), "null")</f>
        <v>null</v>
      </c>
    </row>
    <row r="9" spans="1:37">
      <c r="A9" s="2" t="s">
        <v>44</v>
      </c>
      <c r="B9" s="2" t="str">
        <f>VLOOKUP(A9,Regions!A:B,2,0)</f>
        <v>East Asia &amp; Pacific</v>
      </c>
      <c r="C9" s="2">
        <v>2020</v>
      </c>
      <c r="D9" s="2" t="str">
        <f>IF(A10=A9,ABS(C10-C9),"")</f>
        <v/>
      </c>
      <c r="E9" s="2" t="str">
        <f>IFERROR(IF(A10=A9,((H9-H10)/(C9-C10)), ""), "null")</f>
        <v/>
      </c>
      <c r="F9" s="2">
        <v>55.196998600000001</v>
      </c>
      <c r="G9" s="2">
        <v>87.152999879999996</v>
      </c>
      <c r="H9" s="2">
        <v>99.773771659999994</v>
      </c>
      <c r="I9" s="2">
        <f>IFERROR(ROUND(H9,0),"null")</f>
        <v>100</v>
      </c>
      <c r="J9" s="2" t="str">
        <f>IF(AND(A10=A9,I9=100,I10=100),"full access", " ")</f>
        <v xml:space="preserve"> </v>
      </c>
      <c r="K9" s="2">
        <v>0</v>
      </c>
      <c r="L9" s="2">
        <v>0.22622834150000001</v>
      </c>
      <c r="M9" s="2">
        <v>0</v>
      </c>
      <c r="N9" s="2" t="s">
        <v>45</v>
      </c>
      <c r="O9" s="2" t="str">
        <f>IFERROR(ROUND(N9,0),"null")</f>
        <v>null</v>
      </c>
      <c r="P9" s="2" t="str">
        <f>IF(AND(A9=A10,O9=100,O10=100),"full access"," ")</f>
        <v xml:space="preserve"> </v>
      </c>
      <c r="Q9" s="2" t="str">
        <f>IFERROR(IF(A10=A9,((N9-N10)/(C9-C10)),""),"null")</f>
        <v/>
      </c>
      <c r="R9" s="2" t="s">
        <v>45</v>
      </c>
      <c r="S9" s="2" t="s">
        <v>45</v>
      </c>
      <c r="T9" s="2" t="s">
        <v>45</v>
      </c>
      <c r="U9" s="2" t="s">
        <v>45</v>
      </c>
      <c r="V9" s="2" t="str">
        <f>IFERROR(ROUND(U9,0),"null")</f>
        <v>null</v>
      </c>
      <c r="W9" s="2" t="str">
        <f>IF(AND(A9=A10,V9=100,V10=100),"full access","")</f>
        <v/>
      </c>
      <c r="X9" s="2" t="str">
        <f>IFERROR(IF(A10=A9,((U9-U10)/(C9-C10)),""),"null")</f>
        <v/>
      </c>
      <c r="Y9" s="2" t="s">
        <v>45</v>
      </c>
      <c r="Z9" s="2" t="s">
        <v>45</v>
      </c>
      <c r="AA9" s="2" t="s">
        <v>45</v>
      </c>
      <c r="AB9" s="2" t="str">
        <f>IFERROR(IF(A10=A9, Q9-X9, ""), "null")</f>
        <v/>
      </c>
    </row>
    <row r="10" spans="1:37">
      <c r="A10" s="2" t="s">
        <v>46</v>
      </c>
      <c r="B10" s="2" t="str">
        <f>VLOOKUP(A10,Regions!A:B,2,0)</f>
        <v>Europe &amp; Central Asia</v>
      </c>
      <c r="C10" s="2">
        <v>2015</v>
      </c>
      <c r="D10" s="2">
        <f>IF(A11=A10,ABS(C11-C10),"")</f>
        <v>5</v>
      </c>
      <c r="E10" s="2">
        <f>IFERROR(IF(A11=A10,((H10-H11)/(C10-C11)), ""), "null")</f>
        <v>1.229999998031417E-6</v>
      </c>
      <c r="F10" s="2">
        <v>77.992996219999995</v>
      </c>
      <c r="G10" s="2">
        <v>88.344993590000001</v>
      </c>
      <c r="H10" s="2">
        <v>99.999997550000003</v>
      </c>
      <c r="I10" s="2">
        <f>IFERROR(ROUND(H10,0),"null")</f>
        <v>100</v>
      </c>
      <c r="J10" s="2" t="str">
        <f>IF(AND(A11=A10,I10=100,I11=100),"full access", " ")</f>
        <v>full access</v>
      </c>
      <c r="K10" s="2">
        <v>0</v>
      </c>
      <c r="L10" s="2">
        <v>2.4455383569999998E-6</v>
      </c>
      <c r="M10" s="2">
        <v>0</v>
      </c>
      <c r="N10" s="2">
        <v>100</v>
      </c>
      <c r="O10" s="2">
        <f>IFERROR(ROUND(N10,0),"null")</f>
        <v>100</v>
      </c>
      <c r="P10" s="2" t="str">
        <f>IF(AND(A10=A11,O10=100,O11=100),"full access"," ")</f>
        <v>full access</v>
      </c>
      <c r="Q10" s="2">
        <f>IFERROR(IF(A11=A10,((N10-N11)/(C10-C11)),""),"null")</f>
        <v>0</v>
      </c>
      <c r="R10" s="2">
        <v>0</v>
      </c>
      <c r="S10" s="2">
        <v>0</v>
      </c>
      <c r="T10" s="2">
        <v>0</v>
      </c>
      <c r="U10" s="2">
        <v>100</v>
      </c>
      <c r="V10" s="2">
        <f>IFERROR(ROUND(U10,0),"null")</f>
        <v>100</v>
      </c>
      <c r="W10" s="2" t="str">
        <f>IF(AND(A10=A11,V10=100,V11=100),"full access","")</f>
        <v>full access</v>
      </c>
      <c r="X10" s="2">
        <f>IFERROR(IF(A11=A10,((U10-U11)/(C10-C11)),""),"null")</f>
        <v>0</v>
      </c>
      <c r="Y10" s="2">
        <v>0</v>
      </c>
      <c r="Z10" s="2">
        <v>0</v>
      </c>
      <c r="AA10" s="2">
        <v>0</v>
      </c>
      <c r="AB10" s="2">
        <f>IFERROR(IF(A11=A10, Q10-X10, ""), "null")</f>
        <v>0</v>
      </c>
    </row>
    <row r="11" spans="1:37">
      <c r="A11" s="2" t="s">
        <v>46</v>
      </c>
      <c r="B11" s="2" t="str">
        <f>VLOOKUP(A11,Regions!A:B,2,0)</f>
        <v>Europe &amp; Central Asia</v>
      </c>
      <c r="C11" s="2">
        <v>2020</v>
      </c>
      <c r="D11" s="2" t="str">
        <f>IF(A12=A11,ABS(C12-C11),"")</f>
        <v/>
      </c>
      <c r="E11" s="2" t="str">
        <f>IFERROR(IF(A12=A11,((H11-H12)/(C11-C12)), ""), "null")</f>
        <v/>
      </c>
      <c r="F11" s="2">
        <v>77.26499939</v>
      </c>
      <c r="G11" s="2">
        <v>87.916000370000006</v>
      </c>
      <c r="H11" s="2">
        <v>100.00000369999999</v>
      </c>
      <c r="I11" s="2">
        <f>IFERROR(ROUND(H11,0),"null")</f>
        <v>100</v>
      </c>
      <c r="J11" s="2" t="str">
        <f>IF(AND(A12=A11,I11=100,I12=100),"full access", " ")</f>
        <v xml:space="preserve"> </v>
      </c>
      <c r="K11" s="2">
        <v>0</v>
      </c>
      <c r="L11" s="2">
        <v>0</v>
      </c>
      <c r="M11" s="2">
        <v>0</v>
      </c>
      <c r="N11" s="2">
        <v>100</v>
      </c>
      <c r="O11" s="2">
        <f>IFERROR(ROUND(N11,0),"null")</f>
        <v>100</v>
      </c>
      <c r="P11" s="2" t="str">
        <f>IF(AND(A11=A12,O11=100,O12=100),"full access"," ")</f>
        <v xml:space="preserve"> </v>
      </c>
      <c r="Q11" s="2" t="str">
        <f>IFERROR(IF(A12=A11,((N11-N12)/(C11-C12)),""),"null")</f>
        <v/>
      </c>
      <c r="R11" s="2">
        <v>0</v>
      </c>
      <c r="S11" s="2">
        <v>0</v>
      </c>
      <c r="T11" s="2">
        <v>0</v>
      </c>
      <c r="U11" s="2">
        <v>100</v>
      </c>
      <c r="V11" s="2">
        <f>IFERROR(ROUND(U11,0),"null")</f>
        <v>100</v>
      </c>
      <c r="W11" s="2" t="str">
        <f>IF(AND(A11=A12,V11=100,V12=100),"full access","")</f>
        <v/>
      </c>
      <c r="X11" s="2" t="str">
        <f>IFERROR(IF(A12=A11,((U11-U12)/(C11-C12)),""),"null")</f>
        <v/>
      </c>
      <c r="Y11" s="2">
        <v>0</v>
      </c>
      <c r="Z11" s="2">
        <v>0</v>
      </c>
      <c r="AA11" s="2">
        <v>0</v>
      </c>
      <c r="AB11" s="2" t="str">
        <f>IFERROR(IF(A12=A11, Q11-X11, ""), "null")</f>
        <v/>
      </c>
    </row>
    <row r="12" spans="1:37">
      <c r="A12" s="2" t="s">
        <v>47</v>
      </c>
      <c r="B12" s="2" t="str">
        <f>VLOOKUP(A12,Regions!A:B,2,0)</f>
        <v>Sub-Saharan Africa</v>
      </c>
      <c r="C12" s="2">
        <v>2015</v>
      </c>
      <c r="D12" s="2">
        <f>IF(A13=A12,ABS(C13-C12),"")</f>
        <v>5</v>
      </c>
      <c r="E12" s="2">
        <f>IFERROR(IF(A13=A12,((H12-H13)/(C12-C13)), ""), "null")</f>
        <v>0.57016185399999986</v>
      </c>
      <c r="F12" s="2">
        <v>27884.380860000001</v>
      </c>
      <c r="G12" s="2">
        <v>63.445995330000002</v>
      </c>
      <c r="H12" s="2">
        <v>54.316928349999998</v>
      </c>
      <c r="I12" s="2">
        <f>IFERROR(ROUND(H12,0),"null")</f>
        <v>54</v>
      </c>
      <c r="J12" s="2" t="str">
        <f>IF(AND(A13=A12,I12=100,I13=100),"full access", " ")</f>
        <v xml:space="preserve"> </v>
      </c>
      <c r="K12" s="2">
        <v>11.368618659999999</v>
      </c>
      <c r="L12" s="2">
        <v>17.37235635</v>
      </c>
      <c r="M12" s="2">
        <v>16.942096639999999</v>
      </c>
      <c r="N12" s="2">
        <v>26.714369399999999</v>
      </c>
      <c r="O12" s="2">
        <f>IFERROR(ROUND(N12,0),"null")</f>
        <v>27</v>
      </c>
      <c r="P12" s="2" t="str">
        <f>IF(AND(A12=A13,O12=100,O13=100),"full access"," ")</f>
        <v xml:space="preserve"> </v>
      </c>
      <c r="Q12" s="2">
        <f>IFERROR(IF(A13=A12,((N12-N13)/(C12-C13)),""),"null")</f>
        <v>0.2187714419999999</v>
      </c>
      <c r="R12" s="2">
        <v>9.9310692879999998</v>
      </c>
      <c r="S12" s="2">
        <v>21.725307619999999</v>
      </c>
      <c r="T12" s="2">
        <v>41.629253689999999</v>
      </c>
      <c r="U12" s="2">
        <v>70.219965119999998</v>
      </c>
      <c r="V12" s="2">
        <f>IFERROR(ROUND(U12,0),"null")</f>
        <v>70</v>
      </c>
      <c r="W12" s="2" t="str">
        <f>IF(AND(A12=A13,V12=100,V13=100),"full access","")</f>
        <v/>
      </c>
      <c r="X12" s="2">
        <f>IFERROR(IF(A13=A12,((U12-U13)/(C12-C13)),""),"null")</f>
        <v>0.30463670000000037</v>
      </c>
      <c r="Y12" s="2">
        <v>12.196853490000001</v>
      </c>
      <c r="Z12" s="2">
        <v>14.86443147</v>
      </c>
      <c r="AA12" s="2">
        <v>2.7187499210000001</v>
      </c>
      <c r="AB12" s="2">
        <f>IFERROR(IF(A13=A12, Q12-X12, ""), "null")</f>
        <v>-8.5865258000000472E-2</v>
      </c>
    </row>
    <row r="13" spans="1:37">
      <c r="A13" s="2" t="s">
        <v>47</v>
      </c>
      <c r="B13" s="2" t="str">
        <f>VLOOKUP(A13,Regions!A:B,2,0)</f>
        <v>Sub-Saharan Africa</v>
      </c>
      <c r="C13" s="2">
        <v>2020</v>
      </c>
      <c r="D13" s="2" t="str">
        <f>IF(A14=A13,ABS(C14-C13),"")</f>
        <v/>
      </c>
      <c r="E13" s="2" t="str">
        <f>IFERROR(IF(A14=A13,((H13-H14)/(C13-C14)), ""), "null")</f>
        <v/>
      </c>
      <c r="F13" s="2">
        <v>32866.269529999998</v>
      </c>
      <c r="G13" s="2">
        <v>66.824996949999999</v>
      </c>
      <c r="H13" s="2">
        <v>57.167737619999997</v>
      </c>
      <c r="I13" s="2">
        <f>IFERROR(ROUND(H13,0),"null")</f>
        <v>57</v>
      </c>
      <c r="J13" s="2" t="str">
        <f>IF(AND(A14=A13,I13=100,I14=100),"full access", " ")</f>
        <v xml:space="preserve"> </v>
      </c>
      <c r="K13" s="2">
        <v>9.2873499190000004</v>
      </c>
      <c r="L13" s="2">
        <v>19.450825340000002</v>
      </c>
      <c r="M13" s="2">
        <v>14.094087119999999</v>
      </c>
      <c r="N13" s="2">
        <v>27.808226609999998</v>
      </c>
      <c r="O13" s="2">
        <f>IFERROR(ROUND(N13,0),"null")</f>
        <v>28</v>
      </c>
      <c r="P13" s="2" t="str">
        <f>IF(AND(A13=A14,O13=100,O14=100),"full access"," ")</f>
        <v xml:space="preserve"> </v>
      </c>
      <c r="Q13" s="2" t="str">
        <f>IFERROR(IF(A14=A13,((N13-N14)/(C13-C14)),""),"null")</f>
        <v/>
      </c>
      <c r="R13" s="2">
        <v>8.7404883889999994</v>
      </c>
      <c r="S13" s="2">
        <v>22.933152580000002</v>
      </c>
      <c r="T13" s="2">
        <v>40.518132420000001</v>
      </c>
      <c r="U13" s="2">
        <v>71.743148619999999</v>
      </c>
      <c r="V13" s="2">
        <f>IFERROR(ROUND(U13,0),"null")</f>
        <v>72</v>
      </c>
      <c r="W13" s="2" t="str">
        <f>IF(AND(A13=A14,V13=100,V14=100),"full access","")</f>
        <v/>
      </c>
      <c r="X13" s="2" t="str">
        <f>IFERROR(IF(A14=A13,((U13-U14)/(C13-C14)),""),"null")</f>
        <v/>
      </c>
      <c r="Y13" s="2">
        <v>9.5588374890000001</v>
      </c>
      <c r="Z13" s="2">
        <v>17.722034730000001</v>
      </c>
      <c r="AA13" s="2">
        <v>0.97597916289999997</v>
      </c>
      <c r="AB13" s="2" t="str">
        <f>IFERROR(IF(A14=A13, Q13-X13, ""), "null")</f>
        <v/>
      </c>
    </row>
    <row r="14" spans="1:37">
      <c r="A14" s="2" t="s">
        <v>48</v>
      </c>
      <c r="B14" s="2" t="str">
        <f>VLOOKUP(A14,Regions!A:B,2,0)</f>
        <v>Latin America &amp; Caribbean</v>
      </c>
      <c r="C14" s="2">
        <v>2015</v>
      </c>
      <c r="D14" s="2">
        <f>IF(A15=A14,ABS(C15-C14),"")</f>
        <v>2</v>
      </c>
      <c r="E14" s="2">
        <f>IFERROR(IF(A15=A14,((H14-H15)/(C14-C15)), ""), "null")</f>
        <v>0</v>
      </c>
      <c r="F14" s="2">
        <v>14.27900028</v>
      </c>
      <c r="G14" s="2">
        <v>100</v>
      </c>
      <c r="H14" s="2">
        <v>97.482274250000003</v>
      </c>
      <c r="I14" s="2">
        <f>IFERROR(ROUND(H14,0),"null")</f>
        <v>97</v>
      </c>
      <c r="J14" s="2" t="str">
        <f>IF(AND(A15=A14,I14=100,I15=100),"full access", " ")</f>
        <v xml:space="preserve"> </v>
      </c>
      <c r="K14" s="2">
        <v>0</v>
      </c>
      <c r="L14" s="2">
        <v>2.5177257530000001</v>
      </c>
      <c r="M14" s="2">
        <v>0</v>
      </c>
      <c r="N14" s="2" t="s">
        <v>45</v>
      </c>
      <c r="O14" s="2" t="str">
        <f>IFERROR(ROUND(N14,0),"null")</f>
        <v>null</v>
      </c>
      <c r="P14" s="2" t="str">
        <f>IF(AND(A14=A15,O14=100,O15=100),"full access"," ")</f>
        <v xml:space="preserve"> </v>
      </c>
      <c r="Q14" s="2" t="str">
        <f>IFERROR(IF(A15=A14,((N14-N15)/(C14-C15)),""),"null")</f>
        <v>null</v>
      </c>
      <c r="R14" s="2" t="s">
        <v>45</v>
      </c>
      <c r="S14" s="2" t="s">
        <v>45</v>
      </c>
      <c r="T14" s="2" t="s">
        <v>45</v>
      </c>
      <c r="U14" s="2">
        <v>97.482274250000003</v>
      </c>
      <c r="V14" s="2">
        <f>IFERROR(ROUND(U14,0),"null")</f>
        <v>97</v>
      </c>
      <c r="W14" s="2" t="str">
        <f>IF(AND(A14=A15,V14=100,V15=100),"full access","")</f>
        <v/>
      </c>
      <c r="X14" s="2">
        <f>IFERROR(IF(A15=A14,((U14-U15)/(C14-C15)),""),"null")</f>
        <v>0</v>
      </c>
      <c r="Y14" s="2">
        <v>0</v>
      </c>
      <c r="Z14" s="2">
        <v>2.5177257530000001</v>
      </c>
      <c r="AA14" s="2">
        <v>0</v>
      </c>
      <c r="AB14" s="2" t="str">
        <f>IFERROR(IF(A15=A14, Q14-X14, ""), "null")</f>
        <v>null</v>
      </c>
    </row>
    <row r="15" spans="1:37">
      <c r="A15" s="2" t="s">
        <v>48</v>
      </c>
      <c r="B15" s="2" t="str">
        <f>VLOOKUP(A15,Regions!A:B,2,0)</f>
        <v>Latin America &amp; Caribbean</v>
      </c>
      <c r="C15" s="2">
        <v>2017</v>
      </c>
      <c r="D15" s="2" t="str">
        <f>IF(A16=A15,ABS(C16-C15),"")</f>
        <v/>
      </c>
      <c r="E15" s="2" t="str">
        <f>IFERROR(IF(A16=A15,((H15-H16)/(C15-C16)), ""), "null")</f>
        <v/>
      </c>
      <c r="F15" s="2">
        <v>14.588000299999999</v>
      </c>
      <c r="G15" s="2">
        <v>100</v>
      </c>
      <c r="H15" s="2">
        <v>97.482274250000003</v>
      </c>
      <c r="I15" s="2">
        <f>IFERROR(ROUND(H15,0),"null")</f>
        <v>97</v>
      </c>
      <c r="J15" s="2" t="str">
        <f>IF(AND(A16=A15,I15=100,I16=100),"full access", " ")</f>
        <v xml:space="preserve"> </v>
      </c>
      <c r="K15" s="2">
        <v>0</v>
      </c>
      <c r="L15" s="2">
        <v>2.5177257530000001</v>
      </c>
      <c r="M15" s="2">
        <v>0</v>
      </c>
      <c r="N15" s="2" t="s">
        <v>45</v>
      </c>
      <c r="O15" s="2" t="str">
        <f>IFERROR(ROUND(N15,0),"null")</f>
        <v>null</v>
      </c>
      <c r="P15" s="2" t="str">
        <f>IF(AND(A15=A16,O15=100,O16=100),"full access"," ")</f>
        <v xml:space="preserve"> </v>
      </c>
      <c r="Q15" s="2" t="str">
        <f>IFERROR(IF(A16=A15,((N15-N16)/(C15-C16)),""),"null")</f>
        <v/>
      </c>
      <c r="R15" s="2" t="s">
        <v>45</v>
      </c>
      <c r="S15" s="2" t="s">
        <v>45</v>
      </c>
      <c r="T15" s="2" t="s">
        <v>45</v>
      </c>
      <c r="U15" s="2">
        <v>97.482274250000003</v>
      </c>
      <c r="V15" s="2">
        <f>IFERROR(ROUND(U15,0),"null")</f>
        <v>97</v>
      </c>
      <c r="W15" s="2" t="str">
        <f>IF(AND(A15=A16,V15=100,V16=100),"full access","")</f>
        <v/>
      </c>
      <c r="X15" s="2" t="str">
        <f>IFERROR(IF(A16=A15,((U15-U16)/(C15-C16)),""),"null")</f>
        <v/>
      </c>
      <c r="Y15" s="2">
        <v>0</v>
      </c>
      <c r="Z15" s="2">
        <v>2.5177257530000001</v>
      </c>
      <c r="AA15" s="2">
        <v>0</v>
      </c>
      <c r="AB15" s="2" t="str">
        <f>IFERROR(IF(A16=A15, Q15-X15, ""), "null")</f>
        <v/>
      </c>
    </row>
    <row r="16" spans="1:37">
      <c r="A16" s="2" t="s">
        <v>49</v>
      </c>
      <c r="B16" s="2" t="str">
        <f>VLOOKUP(A16,Regions!A:B,2,0)</f>
        <v>Latin America &amp; Caribbean</v>
      </c>
      <c r="C16" s="2">
        <v>2015</v>
      </c>
      <c r="D16" s="2">
        <f>IF(A17=A16,ABS(C17-C16),"")</f>
        <v>2</v>
      </c>
      <c r="E16" s="2">
        <f>IFERROR(IF(A17=A16,((H16-H17)/(C16-C17)), ""), "null")</f>
        <v>0</v>
      </c>
      <c r="F16" s="2">
        <v>93.570999150000006</v>
      </c>
      <c r="G16" s="2">
        <v>25</v>
      </c>
      <c r="H16" s="2">
        <v>96.739186279999998</v>
      </c>
      <c r="I16" s="2">
        <f>IFERROR(ROUND(H16,0),"null")</f>
        <v>97</v>
      </c>
      <c r="J16" s="2" t="str">
        <f>IF(AND(A17=A16,I16=100,I17=100),"full access", " ")</f>
        <v xml:space="preserve"> </v>
      </c>
      <c r="K16" s="2">
        <v>0</v>
      </c>
      <c r="L16" s="2">
        <v>3.1663476099999999</v>
      </c>
      <c r="M16" s="2">
        <v>9.4466114089999997E-2</v>
      </c>
      <c r="N16" s="2" t="s">
        <v>45</v>
      </c>
      <c r="O16" s="2" t="str">
        <f>IFERROR(ROUND(N16,0),"null")</f>
        <v>null</v>
      </c>
      <c r="P16" s="2" t="str">
        <f>IF(AND(A16=A17,O16=100,O17=100),"full access"," ")</f>
        <v xml:space="preserve"> </v>
      </c>
      <c r="Q16" s="2" t="str">
        <f>IFERROR(IF(A17=A16,((N16-N17)/(C16-C17)),""),"null")</f>
        <v>null</v>
      </c>
      <c r="R16" s="2" t="s">
        <v>45</v>
      </c>
      <c r="S16" s="2" t="s">
        <v>45</v>
      </c>
      <c r="T16" s="2" t="s">
        <v>45</v>
      </c>
      <c r="U16" s="2" t="s">
        <v>45</v>
      </c>
      <c r="V16" s="2" t="str">
        <f>IFERROR(ROUND(U16,0),"null")</f>
        <v>null</v>
      </c>
      <c r="W16" s="2" t="str">
        <f>IF(AND(A16=A17,V16=100,V17=100),"full access","")</f>
        <v/>
      </c>
      <c r="X16" s="2" t="str">
        <f>IFERROR(IF(A17=A16,((U16-U17)/(C16-C17)),""),"null")</f>
        <v>null</v>
      </c>
      <c r="Y16" s="2" t="s">
        <v>45</v>
      </c>
      <c r="Z16" s="2" t="s">
        <v>45</v>
      </c>
      <c r="AA16" s="2" t="s">
        <v>45</v>
      </c>
      <c r="AB16" s="2" t="str">
        <f>IFERROR(IF(A17=A16, Q16-X16, ""), "null")</f>
        <v>null</v>
      </c>
    </row>
    <row r="17" spans="1:28">
      <c r="A17" s="2" t="s">
        <v>49</v>
      </c>
      <c r="B17" s="2" t="str">
        <f>VLOOKUP(A17,Regions!A:B,2,0)</f>
        <v>Latin America &amp; Caribbean</v>
      </c>
      <c r="C17" s="2">
        <v>2017</v>
      </c>
      <c r="D17" s="2" t="str">
        <f>IF(A18=A17,ABS(C18-C17),"")</f>
        <v/>
      </c>
      <c r="E17" s="2" t="str">
        <f>IFERROR(IF(A18=A17,((H17-H18)/(C17-C18)), ""), "null")</f>
        <v/>
      </c>
      <c r="F17" s="2">
        <v>95.425003050000001</v>
      </c>
      <c r="G17" s="2">
        <v>24.713001250000001</v>
      </c>
      <c r="H17" s="2">
        <v>96.739186279999998</v>
      </c>
      <c r="I17" s="2">
        <f>IFERROR(ROUND(H17,0),"null")</f>
        <v>97</v>
      </c>
      <c r="J17" s="2" t="str">
        <f>IF(AND(A18=A17,I17=100,I18=100),"full access", " ")</f>
        <v xml:space="preserve"> </v>
      </c>
      <c r="K17" s="2">
        <v>0</v>
      </c>
      <c r="L17" s="2">
        <v>3.1663476099999999</v>
      </c>
      <c r="M17" s="2">
        <v>9.4466114089999997E-2</v>
      </c>
      <c r="N17" s="2" t="s">
        <v>45</v>
      </c>
      <c r="O17" s="2" t="str">
        <f>IFERROR(ROUND(N17,0),"null")</f>
        <v>null</v>
      </c>
      <c r="P17" s="2" t="str">
        <f>IF(AND(A17=A18,O17=100,O18=100),"full access"," ")</f>
        <v xml:space="preserve"> </v>
      </c>
      <c r="Q17" s="2" t="str">
        <f>IFERROR(IF(A18=A17,((N17-N18)/(C17-C18)),""),"null")</f>
        <v/>
      </c>
      <c r="R17" s="2" t="s">
        <v>45</v>
      </c>
      <c r="S17" s="2" t="s">
        <v>45</v>
      </c>
      <c r="T17" s="2" t="s">
        <v>45</v>
      </c>
      <c r="U17" s="2" t="s">
        <v>45</v>
      </c>
      <c r="V17" s="2" t="str">
        <f>IFERROR(ROUND(U17,0),"null")</f>
        <v>null</v>
      </c>
      <c r="W17" s="2" t="str">
        <f>IF(AND(A17=A18,V17=100,V18=100),"full access","")</f>
        <v/>
      </c>
      <c r="X17" s="2" t="str">
        <f>IFERROR(IF(A18=A17,((U17-U18)/(C17-C18)),""),"null")</f>
        <v/>
      </c>
      <c r="Y17" s="2" t="s">
        <v>45</v>
      </c>
      <c r="Z17" s="2" t="s">
        <v>45</v>
      </c>
      <c r="AA17" s="2" t="s">
        <v>45</v>
      </c>
      <c r="AB17" s="2" t="str">
        <f>IFERROR(IF(A18=A17, Q17-X17, ""), "null")</f>
        <v/>
      </c>
    </row>
    <row r="18" spans="1:28">
      <c r="A18" s="2" t="s">
        <v>50</v>
      </c>
      <c r="B18" s="2" t="str">
        <f>VLOOKUP(A18,Regions!A:B,2,0)</f>
        <v>Latin America &amp; Caribbean</v>
      </c>
      <c r="C18" s="2">
        <v>2015</v>
      </c>
      <c r="D18" s="2">
        <f>IF(A19=A18,ABS(C19-C18),"")</f>
        <v>5</v>
      </c>
      <c r="E18" s="2" t="str">
        <f>IFERROR(IF(A19=A18,((H18-H19)/(C18-C19)), ""), "null")</f>
        <v>null</v>
      </c>
      <c r="F18" s="2">
        <v>43075.414060000003</v>
      </c>
      <c r="G18" s="2">
        <v>91.502998349999999</v>
      </c>
      <c r="H18" s="2">
        <v>98.966588150000007</v>
      </c>
      <c r="I18" s="2">
        <f>IFERROR(ROUND(H18,0),"null")</f>
        <v>99</v>
      </c>
      <c r="J18" s="2" t="str">
        <f>IF(AND(A19=A18,I18=100,I19=100),"full access", " ")</f>
        <v xml:space="preserve"> </v>
      </c>
      <c r="K18" s="2">
        <v>0</v>
      </c>
      <c r="L18" s="2">
        <v>0.66491437909999995</v>
      </c>
      <c r="M18" s="2">
        <v>0.36849747420000001</v>
      </c>
      <c r="N18" s="2">
        <v>92.983660049999997</v>
      </c>
      <c r="O18" s="2">
        <f>IFERROR(ROUND(N18,0),"null")</f>
        <v>93</v>
      </c>
      <c r="P18" s="2" t="str">
        <f>IF(AND(A18=A19,O18=100,O19=100),"full access"," ")</f>
        <v xml:space="preserve"> </v>
      </c>
      <c r="Q18" s="2" t="str">
        <f>IFERROR(IF(A19=A18,((N18-N19)/(C18-C19)),""),"null")</f>
        <v>null</v>
      </c>
      <c r="R18" s="2">
        <v>0</v>
      </c>
      <c r="S18" s="2">
        <v>2.6795448990000001</v>
      </c>
      <c r="T18" s="2">
        <v>4.3367950510000002</v>
      </c>
      <c r="U18" s="2">
        <v>99.522163050000003</v>
      </c>
      <c r="V18" s="2">
        <f>IFERROR(ROUND(U18,0),"null")</f>
        <v>100</v>
      </c>
      <c r="W18" s="2" t="str">
        <f>IF(AND(A18=A19,V18=100,V19=100),"full access","")</f>
        <v>full access</v>
      </c>
      <c r="X18" s="2">
        <f>IFERROR(IF(A19=A18,((U18-U19)/(C18-C19)),""),"null")</f>
        <v>5.3651519999999661E-2</v>
      </c>
      <c r="Y18" s="2">
        <v>0</v>
      </c>
      <c r="Z18" s="2">
        <v>0.47783694729999998</v>
      </c>
      <c r="AA18" s="2">
        <v>0</v>
      </c>
      <c r="AB18" s="2" t="str">
        <f>IFERROR(IF(A19=A18, Q18-X18, ""), "null")</f>
        <v>null</v>
      </c>
    </row>
    <row r="19" spans="1:28">
      <c r="A19" s="2" t="s">
        <v>50</v>
      </c>
      <c r="B19" s="2" t="str">
        <f>VLOOKUP(A19,Regions!A:B,2,0)</f>
        <v>Latin America &amp; Caribbean</v>
      </c>
      <c r="C19" s="2">
        <v>2020</v>
      </c>
      <c r="D19" s="2" t="str">
        <f>IF(A20=A19,ABS(C20-C19),"")</f>
        <v/>
      </c>
      <c r="E19" s="2" t="str">
        <f>IFERROR(IF(A20=A19,((H19-H20)/(C19-C20)), ""), "null")</f>
        <v/>
      </c>
      <c r="F19" s="2">
        <v>45195.777340000001</v>
      </c>
      <c r="G19" s="2">
        <v>92.111000059999995</v>
      </c>
      <c r="H19" s="2" t="s">
        <v>45</v>
      </c>
      <c r="I19" s="2" t="str">
        <f>IFERROR(ROUND(H19,0),"null")</f>
        <v>null</v>
      </c>
      <c r="J19" s="2" t="str">
        <f>IF(AND(A20=A19,I19=100,I20=100),"full access", " ")</f>
        <v xml:space="preserve"> </v>
      </c>
      <c r="K19" s="2" t="s">
        <v>45</v>
      </c>
      <c r="L19" s="2" t="s">
        <v>45</v>
      </c>
      <c r="M19" s="2" t="s">
        <v>45</v>
      </c>
      <c r="N19" s="2" t="s">
        <v>45</v>
      </c>
      <c r="O19" s="2" t="str">
        <f>IFERROR(ROUND(N19,0),"null")</f>
        <v>null</v>
      </c>
      <c r="P19" s="2" t="str">
        <f>IF(AND(A19=A20,O19=100,O20=100),"full access"," ")</f>
        <v xml:space="preserve"> </v>
      </c>
      <c r="Q19" s="2" t="str">
        <f>IFERROR(IF(A20=A19,((N19-N20)/(C19-C20)),""),"null")</f>
        <v/>
      </c>
      <c r="R19" s="2" t="s">
        <v>45</v>
      </c>
      <c r="S19" s="2" t="s">
        <v>45</v>
      </c>
      <c r="T19" s="2" t="s">
        <v>45</v>
      </c>
      <c r="U19" s="2">
        <v>99.790420650000002</v>
      </c>
      <c r="V19" s="2">
        <f>IFERROR(ROUND(U19,0),"null")</f>
        <v>100</v>
      </c>
      <c r="W19" s="2" t="str">
        <f>IF(AND(A19=A20,V19=100,V20=100),"full access","")</f>
        <v/>
      </c>
      <c r="X19" s="2" t="str">
        <f>IFERROR(IF(A20=A19,((U19-U20)/(C19-C20)),""),"null")</f>
        <v/>
      </c>
      <c r="Y19" s="2">
        <v>0</v>
      </c>
      <c r="Z19" s="2">
        <v>0.20957935010000001</v>
      </c>
      <c r="AA19" s="2">
        <v>0</v>
      </c>
      <c r="AB19" s="2" t="str">
        <f>IFERROR(IF(A20=A19, Q19-X19, ""), "null")</f>
        <v/>
      </c>
    </row>
    <row r="20" spans="1:28">
      <c r="A20" s="2" t="s">
        <v>51</v>
      </c>
      <c r="B20" s="2" t="str">
        <f>VLOOKUP(A20,Regions!A:B,2,0)</f>
        <v>Europe &amp; Central Asia</v>
      </c>
      <c r="C20" s="2">
        <v>2015</v>
      </c>
      <c r="D20" s="2">
        <f>IF(A21=A20,ABS(C21-C20),"")</f>
        <v>5</v>
      </c>
      <c r="E20" s="2">
        <f>IFERROR(IF(A21=A20,((H20-H21)/(C20-C21)), ""), "null")</f>
        <v>8.3722797999999446E-2</v>
      </c>
      <c r="F20" s="2">
        <v>2925.5590820000002</v>
      </c>
      <c r="G20" s="2">
        <v>63.085002899999999</v>
      </c>
      <c r="H20" s="2">
        <v>99.5525667</v>
      </c>
      <c r="I20" s="2">
        <f>IFERROR(ROUND(H20,0),"null")</f>
        <v>100</v>
      </c>
      <c r="J20" s="2" t="str">
        <f>IF(AND(A21=A20,I20=100,I21=100),"full access", " ")</f>
        <v>full access</v>
      </c>
      <c r="K20" s="2">
        <v>0</v>
      </c>
      <c r="L20" s="2">
        <v>9.8505083660000006E-2</v>
      </c>
      <c r="M20" s="2">
        <v>0.3489282205</v>
      </c>
      <c r="N20" s="2">
        <v>99.054779269999997</v>
      </c>
      <c r="O20" s="2">
        <f>IFERROR(ROUND(N20,0),"null")</f>
        <v>99</v>
      </c>
      <c r="P20" s="2" t="str">
        <f>IF(AND(A20=A21,O20=100,O21=100),"full access"," ")</f>
        <v xml:space="preserve"> </v>
      </c>
      <c r="Q20" s="2">
        <f>IFERROR(IF(A21=A20,((N20-N21)/(C20-C21)),""),"null")</f>
        <v>0.18904414600000052</v>
      </c>
      <c r="R20" s="2">
        <v>0</v>
      </c>
      <c r="S20" s="2">
        <v>0</v>
      </c>
      <c r="T20" s="2">
        <v>0.94522073470000001</v>
      </c>
      <c r="U20" s="2">
        <v>99.8438534</v>
      </c>
      <c r="V20" s="2">
        <f>IFERROR(ROUND(U20,0),"null")</f>
        <v>100</v>
      </c>
      <c r="W20" s="2" t="str">
        <f>IF(AND(A20=A21,V20=100,V21=100),"full access","")</f>
        <v>full access</v>
      </c>
      <c r="X20" s="2">
        <f>IFERROR(IF(A21=A20,((U20-U21)/(C20-C21)),""),"null")</f>
        <v>2.2125564000000965E-2</v>
      </c>
      <c r="Y20" s="2">
        <v>0</v>
      </c>
      <c r="Z20" s="2">
        <v>0.15614659810000001</v>
      </c>
      <c r="AA20" s="2">
        <v>0</v>
      </c>
      <c r="AB20" s="2">
        <f>IFERROR(IF(A21=A20, Q20-X20, ""), "null")</f>
        <v>0.16691858199999957</v>
      </c>
    </row>
    <row r="21" spans="1:28">
      <c r="A21" s="2" t="s">
        <v>51</v>
      </c>
      <c r="B21" s="2" t="str">
        <f>VLOOKUP(A21,Regions!A:B,2,0)</f>
        <v>Europe &amp; Central Asia</v>
      </c>
      <c r="C21" s="2">
        <v>2020</v>
      </c>
      <c r="D21" s="2" t="str">
        <f>IF(A22=A21,ABS(C22-C21),"")</f>
        <v/>
      </c>
      <c r="E21" s="2" t="str">
        <f>IFERROR(IF(A22=A21,((H21-H22)/(C21-C22)), ""), "null")</f>
        <v/>
      </c>
      <c r="F21" s="2">
        <v>2963.2338869999999</v>
      </c>
      <c r="G21" s="2">
        <v>63.312999730000001</v>
      </c>
      <c r="H21" s="2">
        <v>99.971180689999997</v>
      </c>
      <c r="I21" s="2">
        <f>IFERROR(ROUND(H21,0),"null")</f>
        <v>100</v>
      </c>
      <c r="J21" s="2" t="str">
        <f>IF(AND(A22=A21,I21=100,I22=100),"full access", " ")</f>
        <v xml:space="preserve"> </v>
      </c>
      <c r="K21" s="2">
        <v>0</v>
      </c>
      <c r="L21" s="2">
        <v>2.8819308009999999E-2</v>
      </c>
      <c r="M21" s="2">
        <v>0</v>
      </c>
      <c r="N21" s="2">
        <v>100</v>
      </c>
      <c r="O21" s="2">
        <f>IFERROR(ROUND(N21,0),"null")</f>
        <v>100</v>
      </c>
      <c r="P21" s="2" t="str">
        <f>IF(AND(A21=A22,O21=100,O22=100),"full access"," ")</f>
        <v xml:space="preserve"> </v>
      </c>
      <c r="Q21" s="2" t="str">
        <f>IFERROR(IF(A22=A21,((N21-N22)/(C21-C22)),""),"null")</f>
        <v/>
      </c>
      <c r="R21" s="2">
        <v>0</v>
      </c>
      <c r="S21" s="2">
        <v>0</v>
      </c>
      <c r="T21" s="2">
        <v>0</v>
      </c>
      <c r="U21" s="2">
        <v>99.954481220000005</v>
      </c>
      <c r="V21" s="2">
        <f>IFERROR(ROUND(U21,0),"null")</f>
        <v>100</v>
      </c>
      <c r="W21" s="2" t="str">
        <f>IF(AND(A21=A22,V21=100,V22=100),"full access","")</f>
        <v/>
      </c>
      <c r="X21" s="2" t="str">
        <f>IFERROR(IF(A22=A21,((U21-U22)/(C21-C22)),""),"null")</f>
        <v/>
      </c>
      <c r="Y21" s="2">
        <v>0</v>
      </c>
      <c r="Z21" s="2">
        <v>4.5518783639999998E-2</v>
      </c>
      <c r="AA21" s="2">
        <v>0</v>
      </c>
      <c r="AB21" s="2" t="str">
        <f>IFERROR(IF(A22=A21, Q21-X21, ""), "null")</f>
        <v/>
      </c>
    </row>
    <row r="22" spans="1:28">
      <c r="A22" s="2" t="s">
        <v>52</v>
      </c>
      <c r="B22" s="2" t="str">
        <f>VLOOKUP(A22,Regions!A:B,2,0)</f>
        <v>Latin America &amp; Caribbean</v>
      </c>
      <c r="C22" s="2">
        <v>2015</v>
      </c>
      <c r="D22" s="2">
        <f>IF(A23=A22,ABS(C23-C22),"")</f>
        <v>1</v>
      </c>
      <c r="E22" s="2">
        <f>IFERROR(IF(A23=A22,((H22-H23)/(C22-C23)), ""), "null")</f>
        <v>0</v>
      </c>
      <c r="F22" s="2">
        <v>104.3389969</v>
      </c>
      <c r="G22" s="2">
        <v>43.108001710000003</v>
      </c>
      <c r="H22" s="2">
        <v>97.869023380000002</v>
      </c>
      <c r="I22" s="2">
        <f>IFERROR(ROUND(H22,0),"null")</f>
        <v>98</v>
      </c>
      <c r="J22" s="2" t="str">
        <f>IF(AND(A23=A22,I22=100,I23=100),"full access", " ")</f>
        <v xml:space="preserve"> </v>
      </c>
      <c r="K22" s="2">
        <v>0</v>
      </c>
      <c r="L22" s="2">
        <v>1.95993621</v>
      </c>
      <c r="M22" s="2">
        <v>0.1710404089</v>
      </c>
      <c r="N22" s="2" t="s">
        <v>45</v>
      </c>
      <c r="O22" s="2" t="str">
        <f>IFERROR(ROUND(N22,0),"null")</f>
        <v>null</v>
      </c>
      <c r="P22" s="2" t="str">
        <f>IF(AND(A22=A23,O22=100,O23=100),"full access"," ")</f>
        <v xml:space="preserve"> </v>
      </c>
      <c r="Q22" s="2" t="str">
        <f>IFERROR(IF(A23=A22,((N22-N23)/(C22-C23)),""),"null")</f>
        <v>null</v>
      </c>
      <c r="R22" s="2" t="s">
        <v>45</v>
      </c>
      <c r="S22" s="2" t="s">
        <v>45</v>
      </c>
      <c r="T22" s="2" t="s">
        <v>45</v>
      </c>
      <c r="U22" s="2" t="s">
        <v>45</v>
      </c>
      <c r="V22" s="2" t="str">
        <f>IFERROR(ROUND(U22,0),"null")</f>
        <v>null</v>
      </c>
      <c r="W22" s="2" t="str">
        <f>IF(AND(A22=A23,V22=100,V23=100),"full access","")</f>
        <v/>
      </c>
      <c r="X22" s="2" t="str">
        <f>IFERROR(IF(A23=A22,((U22-U23)/(C22-C23)),""),"null")</f>
        <v>null</v>
      </c>
      <c r="Y22" s="2" t="s">
        <v>45</v>
      </c>
      <c r="Z22" s="2" t="s">
        <v>45</v>
      </c>
      <c r="AA22" s="2" t="s">
        <v>45</v>
      </c>
      <c r="AB22" s="2" t="str">
        <f>IFERROR(IF(A23=A22, Q22-X22, ""), "null")</f>
        <v>null</v>
      </c>
    </row>
    <row r="23" spans="1:28">
      <c r="A23" s="2" t="s">
        <v>52</v>
      </c>
      <c r="B23" s="2" t="str">
        <f>VLOOKUP(A23,Regions!A:B,2,0)</f>
        <v>Latin America &amp; Caribbean</v>
      </c>
      <c r="C23" s="2">
        <v>2016</v>
      </c>
      <c r="D23" s="2" t="str">
        <f>IF(A24=A23,ABS(C24-C23),"")</f>
        <v/>
      </c>
      <c r="E23" s="2" t="str">
        <f>IFERROR(IF(A24=A23,((H23-H24)/(C23-C24)), ""), "null")</f>
        <v/>
      </c>
      <c r="F23" s="2">
        <v>104.86499790000001</v>
      </c>
      <c r="G23" s="2">
        <v>43.191997530000002</v>
      </c>
      <c r="H23" s="2">
        <v>97.869023380000002</v>
      </c>
      <c r="I23" s="2">
        <f>IFERROR(ROUND(H23,0),"null")</f>
        <v>98</v>
      </c>
      <c r="J23" s="2" t="str">
        <f>IF(AND(A24=A23,I23=100,I24=100),"full access", " ")</f>
        <v xml:space="preserve"> </v>
      </c>
      <c r="K23" s="2">
        <v>0</v>
      </c>
      <c r="L23" s="2">
        <v>1.95993621</v>
      </c>
      <c r="M23" s="2">
        <v>0.1710404089</v>
      </c>
      <c r="N23" s="2" t="s">
        <v>45</v>
      </c>
      <c r="O23" s="2" t="str">
        <f>IFERROR(ROUND(N23,0),"null")</f>
        <v>null</v>
      </c>
      <c r="P23" s="2" t="str">
        <f>IF(AND(A23=A24,O23=100,O24=100),"full access"," ")</f>
        <v xml:space="preserve"> </v>
      </c>
      <c r="Q23" s="2" t="str">
        <f>IFERROR(IF(A24=A23,((N23-N24)/(C23-C24)),""),"null")</f>
        <v/>
      </c>
      <c r="R23" s="2" t="s">
        <v>45</v>
      </c>
      <c r="S23" s="2" t="s">
        <v>45</v>
      </c>
      <c r="T23" s="2" t="s">
        <v>45</v>
      </c>
      <c r="U23" s="2" t="s">
        <v>45</v>
      </c>
      <c r="V23" s="2" t="str">
        <f>IFERROR(ROUND(U23,0),"null")</f>
        <v>null</v>
      </c>
      <c r="W23" s="2" t="str">
        <f>IF(AND(A23=A24,V23=100,V24=100),"full access","")</f>
        <v/>
      </c>
      <c r="X23" s="2" t="str">
        <f>IFERROR(IF(A24=A23,((U23-U24)/(C23-C24)),""),"null")</f>
        <v/>
      </c>
      <c r="Y23" s="2" t="s">
        <v>45</v>
      </c>
      <c r="Z23" s="2" t="s">
        <v>45</v>
      </c>
      <c r="AA23" s="2" t="s">
        <v>45</v>
      </c>
      <c r="AB23" s="2" t="str">
        <f>IFERROR(IF(A24=A23, Q23-X23, ""), "null")</f>
        <v/>
      </c>
    </row>
    <row r="24" spans="1:28">
      <c r="A24" s="2" t="s">
        <v>53</v>
      </c>
      <c r="B24" s="2" t="str">
        <f>VLOOKUP(A24,Regions!A:B,2,0)</f>
        <v>East Asia &amp; Pacific</v>
      </c>
      <c r="C24" s="2">
        <v>2015</v>
      </c>
      <c r="D24" s="2">
        <f>IF(A25=A24,ABS(C25-C24),"")</f>
        <v>5</v>
      </c>
      <c r="E24" s="2">
        <f>IFERROR(IF(A25=A24,((H24-H25)/(C24-C25)), ""), "null")</f>
        <v>-3.8770000000454277E-5</v>
      </c>
      <c r="F24" s="2">
        <v>23932.498049999998</v>
      </c>
      <c r="G24" s="2">
        <v>85.701004029999993</v>
      </c>
      <c r="H24" s="2">
        <v>99.970005670000006</v>
      </c>
      <c r="I24" s="2">
        <f>IFERROR(ROUND(H24,0),"null")</f>
        <v>100</v>
      </c>
      <c r="J24" s="2" t="str">
        <f>IF(AND(A25=A24,I24=100,I25=100),"full access", " ")</f>
        <v>full access</v>
      </c>
      <c r="K24" s="2">
        <v>0</v>
      </c>
      <c r="L24" s="2">
        <v>2.9994330570000002E-2</v>
      </c>
      <c r="M24" s="2">
        <v>0</v>
      </c>
      <c r="N24" s="2">
        <v>100</v>
      </c>
      <c r="O24" s="2">
        <f>IFERROR(ROUND(N24,0),"null")</f>
        <v>100</v>
      </c>
      <c r="P24" s="2" t="str">
        <f>IF(AND(A24=A25,O24=100,O25=100),"full access"," ")</f>
        <v>full access</v>
      </c>
      <c r="Q24" s="2">
        <f>IFERROR(IF(A25=A24,((N24-N25)/(C24-C25)),""),"null")</f>
        <v>0</v>
      </c>
      <c r="R24" s="2">
        <v>0</v>
      </c>
      <c r="S24" s="2">
        <v>0</v>
      </c>
      <c r="T24" s="2">
        <v>0</v>
      </c>
      <c r="U24" s="2">
        <v>99.965000000000003</v>
      </c>
      <c r="V24" s="2">
        <f>IFERROR(ROUND(U24,0),"null")</f>
        <v>100</v>
      </c>
      <c r="W24" s="2" t="str">
        <f>IF(AND(A24=A25,V24=100,V25=100),"full access","")</f>
        <v>full access</v>
      </c>
      <c r="X24" s="2">
        <f>IFERROR(IF(A25=A24,((U24-U25)/(C24-C25)),""),"null")</f>
        <v>0</v>
      </c>
      <c r="Y24" s="2">
        <v>0</v>
      </c>
      <c r="Z24" s="2">
        <v>3.5000000000000003E-2</v>
      </c>
      <c r="AA24" s="2">
        <v>0</v>
      </c>
      <c r="AB24" s="2">
        <f>IFERROR(IF(A25=A24, Q24-X24, ""), "null")</f>
        <v>0</v>
      </c>
    </row>
    <row r="25" spans="1:28">
      <c r="A25" s="2" t="s">
        <v>53</v>
      </c>
      <c r="B25" s="2" t="str">
        <f>VLOOKUP(A25,Regions!A:B,2,0)</f>
        <v>East Asia &amp; Pacific</v>
      </c>
      <c r="C25" s="2">
        <v>2020</v>
      </c>
      <c r="D25" s="2" t="str">
        <f>IF(A26=A25,ABS(C26-C25),"")</f>
        <v/>
      </c>
      <c r="E25" s="2" t="str">
        <f>IFERROR(IF(A26=A25,((H25-H26)/(C25-C26)), ""), "null")</f>
        <v/>
      </c>
      <c r="F25" s="2">
        <v>25499.880860000001</v>
      </c>
      <c r="G25" s="2">
        <v>86.240997309999997</v>
      </c>
      <c r="H25" s="2">
        <v>99.969811820000004</v>
      </c>
      <c r="I25" s="2">
        <f>IFERROR(ROUND(H25,0),"null")</f>
        <v>100</v>
      </c>
      <c r="J25" s="2" t="str">
        <f>IF(AND(A26=A25,I25=100,I26=100),"full access", " ")</f>
        <v xml:space="preserve"> </v>
      </c>
      <c r="K25" s="2">
        <v>0</v>
      </c>
      <c r="L25" s="2">
        <v>3.0188178730000001E-2</v>
      </c>
      <c r="M25" s="2">
        <v>0</v>
      </c>
      <c r="N25" s="2">
        <v>100</v>
      </c>
      <c r="O25" s="2">
        <f>IFERROR(ROUND(N25,0),"null")</f>
        <v>100</v>
      </c>
      <c r="P25" s="2" t="str">
        <f>IF(AND(A25=A26,O25=100,O26=100),"full access"," ")</f>
        <v xml:space="preserve"> </v>
      </c>
      <c r="Q25" s="2" t="str">
        <f>IFERROR(IF(A26=A25,((N25-N26)/(C25-C26)),""),"null")</f>
        <v/>
      </c>
      <c r="R25" s="2">
        <v>0</v>
      </c>
      <c r="S25" s="2">
        <v>0</v>
      </c>
      <c r="T25" s="2">
        <v>0</v>
      </c>
      <c r="U25" s="2">
        <v>99.965000000000003</v>
      </c>
      <c r="V25" s="2">
        <f>IFERROR(ROUND(U25,0),"null")</f>
        <v>100</v>
      </c>
      <c r="W25" s="2" t="str">
        <f>IF(AND(A25=A26,V25=100,V26=100),"full access","")</f>
        <v/>
      </c>
      <c r="X25" s="2" t="str">
        <f>IFERROR(IF(A26=A25,((U25-U26)/(C25-C26)),""),"null")</f>
        <v/>
      </c>
      <c r="Y25" s="2">
        <v>0</v>
      </c>
      <c r="Z25" s="2">
        <v>3.5000000000000003E-2</v>
      </c>
      <c r="AA25" s="2">
        <v>0</v>
      </c>
      <c r="AB25" s="2" t="str">
        <f>IFERROR(IF(A26=A25, Q25-X25, ""), "null")</f>
        <v/>
      </c>
    </row>
    <row r="26" spans="1:28">
      <c r="A26" s="2" t="s">
        <v>54</v>
      </c>
      <c r="B26" s="2" t="str">
        <f>VLOOKUP(A26,Regions!A:B,2,0)</f>
        <v>Europe &amp; Central Asia</v>
      </c>
      <c r="C26" s="2">
        <v>2015</v>
      </c>
      <c r="D26" s="2">
        <f>IF(A27=A26,ABS(C27-C26),"")</f>
        <v>5</v>
      </c>
      <c r="E26" s="2">
        <f>IFERROR(IF(A27=A26,((H26-H27)/(C26-C27)), ""), "null")</f>
        <v>0</v>
      </c>
      <c r="F26" s="2">
        <v>8678.6669920000004</v>
      </c>
      <c r="G26" s="2">
        <v>57.715000150000002</v>
      </c>
      <c r="H26" s="2">
        <v>100</v>
      </c>
      <c r="I26" s="2">
        <f>IFERROR(ROUND(H26,0),"null")</f>
        <v>100</v>
      </c>
      <c r="J26" s="2" t="str">
        <f>IF(AND(A27=A26,I26=100,I27=100),"full access", " ")</f>
        <v>full access</v>
      </c>
      <c r="K26" s="2">
        <v>0</v>
      </c>
      <c r="L26" s="2">
        <v>0</v>
      </c>
      <c r="M26" s="2">
        <v>0</v>
      </c>
      <c r="N26" s="2">
        <v>100</v>
      </c>
      <c r="O26" s="2">
        <f>IFERROR(ROUND(N26,0),"null")</f>
        <v>100</v>
      </c>
      <c r="P26" s="2" t="str">
        <f>IF(AND(A26=A27,O26=100,O27=100),"full access"," ")</f>
        <v>full access</v>
      </c>
      <c r="Q26" s="2">
        <f>IFERROR(IF(A27=A26,((N26-N27)/(C26-C27)),""),"null")</f>
        <v>0</v>
      </c>
      <c r="R26" s="2">
        <v>0</v>
      </c>
      <c r="S26" s="2">
        <v>0</v>
      </c>
      <c r="T26" s="2">
        <v>0</v>
      </c>
      <c r="U26" s="2">
        <v>100</v>
      </c>
      <c r="V26" s="2">
        <f>IFERROR(ROUND(U26,0),"null")</f>
        <v>100</v>
      </c>
      <c r="W26" s="2" t="str">
        <f>IF(AND(A26=A27,V26=100,V27=100),"full access","")</f>
        <v>full access</v>
      </c>
      <c r="X26" s="2">
        <f>IFERROR(IF(A27=A26,((U26-U27)/(C26-C27)),""),"null")</f>
        <v>0</v>
      </c>
      <c r="Y26" s="2">
        <v>0</v>
      </c>
      <c r="Z26" s="2">
        <v>0</v>
      </c>
      <c r="AA26" s="2">
        <v>0</v>
      </c>
      <c r="AB26" s="2">
        <f>IFERROR(IF(A27=A26, Q26-X26, ""), "null")</f>
        <v>0</v>
      </c>
    </row>
    <row r="27" spans="1:28">
      <c r="A27" s="2" t="s">
        <v>54</v>
      </c>
      <c r="B27" s="2" t="str">
        <f>VLOOKUP(A27,Regions!A:B,2,0)</f>
        <v>Europe &amp; Central Asia</v>
      </c>
      <c r="C27" s="2">
        <v>2020</v>
      </c>
      <c r="D27" s="2" t="str">
        <f>IF(A28=A27,ABS(C28-C27),"")</f>
        <v/>
      </c>
      <c r="E27" s="2" t="str">
        <f>IFERROR(IF(A28=A27,((H27-H28)/(C27-C28)), ""), "null")</f>
        <v/>
      </c>
      <c r="F27" s="2">
        <v>9006.4003909999992</v>
      </c>
      <c r="G27" s="2">
        <v>58.748001100000003</v>
      </c>
      <c r="H27" s="2">
        <v>100</v>
      </c>
      <c r="I27" s="2">
        <f>IFERROR(ROUND(H27,0),"null")</f>
        <v>100</v>
      </c>
      <c r="J27" s="2" t="str">
        <f>IF(AND(A28=A27,I27=100,I28=100),"full access", " ")</f>
        <v xml:space="preserve"> </v>
      </c>
      <c r="K27" s="2">
        <v>0</v>
      </c>
      <c r="L27" s="2">
        <v>0</v>
      </c>
      <c r="M27" s="2">
        <v>0</v>
      </c>
      <c r="N27" s="2">
        <v>100</v>
      </c>
      <c r="O27" s="2">
        <f>IFERROR(ROUND(N27,0),"null")</f>
        <v>100</v>
      </c>
      <c r="P27" s="2" t="str">
        <f>IF(AND(A27=A28,O27=100,O28=100),"full access"," ")</f>
        <v xml:space="preserve"> </v>
      </c>
      <c r="Q27" s="2" t="str">
        <f>IFERROR(IF(A28=A27,((N27-N28)/(C27-C28)),""),"null")</f>
        <v/>
      </c>
      <c r="R27" s="2">
        <v>0</v>
      </c>
      <c r="S27" s="2">
        <v>0</v>
      </c>
      <c r="T27" s="2">
        <v>0</v>
      </c>
      <c r="U27" s="2">
        <v>100</v>
      </c>
      <c r="V27" s="2">
        <f>IFERROR(ROUND(U27,0),"null")</f>
        <v>100</v>
      </c>
      <c r="W27" s="2" t="str">
        <f>IF(AND(A27=A28,V27=100,V28=100),"full access","")</f>
        <v/>
      </c>
      <c r="X27" s="2" t="str">
        <f>IFERROR(IF(A28=A27,((U27-U28)/(C27-C28)),""),"null")</f>
        <v/>
      </c>
      <c r="Y27" s="2">
        <v>0</v>
      </c>
      <c r="Z27" s="2">
        <v>0</v>
      </c>
      <c r="AA27" s="2">
        <v>0</v>
      </c>
      <c r="AB27" s="2" t="str">
        <f>IFERROR(IF(A28=A27, Q27-X27, ""), "null")</f>
        <v/>
      </c>
    </row>
    <row r="28" spans="1:28">
      <c r="A28" s="2" t="s">
        <v>55</v>
      </c>
      <c r="B28" s="2" t="str">
        <f>VLOOKUP(A28,Regions!A:B,2,0)</f>
        <v>Europe &amp; Central Asia</v>
      </c>
      <c r="C28" s="2">
        <v>2015</v>
      </c>
      <c r="D28" s="2">
        <f>IF(A29=A28,ABS(C29-C28),"")</f>
        <v>5</v>
      </c>
      <c r="E28" s="2">
        <f>IFERROR(IF(A29=A28,((H28-H29)/(C28-C29)), ""), "null")</f>
        <v>0.72461242999999909</v>
      </c>
      <c r="F28" s="2">
        <v>9622.7412110000005</v>
      </c>
      <c r="G28" s="2">
        <v>54.7140007</v>
      </c>
      <c r="H28" s="2">
        <v>92.420313980000003</v>
      </c>
      <c r="I28" s="2">
        <f>IFERROR(ROUND(H28,0),"null")</f>
        <v>92</v>
      </c>
      <c r="J28" s="2" t="str">
        <f>IF(AND(A29=A28,I28=100,I29=100),"full access", " ")</f>
        <v xml:space="preserve"> </v>
      </c>
      <c r="K28" s="2">
        <v>1.002242415</v>
      </c>
      <c r="L28" s="2">
        <v>4.3650895219999999</v>
      </c>
      <c r="M28" s="2">
        <v>2.2123540799999999</v>
      </c>
      <c r="N28" s="2">
        <v>84.143213270000004</v>
      </c>
      <c r="O28" s="2">
        <f>IFERROR(ROUND(N28,0),"null")</f>
        <v>84</v>
      </c>
      <c r="P28" s="2" t="str">
        <f>IF(AND(A28=A29,O28=100,O29=100),"full access"," ")</f>
        <v xml:space="preserve"> </v>
      </c>
      <c r="Q28" s="2">
        <f>IFERROR(IF(A29=A28,((N28-N29)/(C28-C29)),""),"null")</f>
        <v>1.3565169359999998</v>
      </c>
      <c r="R28" s="2">
        <v>2.2131397310000001</v>
      </c>
      <c r="S28" s="2">
        <v>8.9882060060000004</v>
      </c>
      <c r="T28" s="2">
        <v>4.6554409919999999</v>
      </c>
      <c r="U28" s="2">
        <v>99.271152029999996</v>
      </c>
      <c r="V28" s="2">
        <f>IFERROR(ROUND(U28,0),"null")</f>
        <v>99</v>
      </c>
      <c r="W28" s="2" t="str">
        <f>IF(AND(A28=A29,V28=100,V29=100),"full access","")</f>
        <v/>
      </c>
      <c r="X28" s="2">
        <f>IFERROR(IF(A29=A28,((U28-U29)/(C28-C29)),""),"null")</f>
        <v>0.14576959400000078</v>
      </c>
      <c r="Y28" s="2">
        <v>0</v>
      </c>
      <c r="Z28" s="2">
        <v>0.53860203449999999</v>
      </c>
      <c r="AA28" s="2">
        <v>0.1902459339</v>
      </c>
      <c r="AB28" s="2">
        <f>IFERROR(IF(A29=A28, Q28-X28, ""), "null")</f>
        <v>1.210747341999999</v>
      </c>
    </row>
    <row r="29" spans="1:28">
      <c r="A29" s="2" t="s">
        <v>55</v>
      </c>
      <c r="B29" s="2" t="str">
        <f>VLOOKUP(A29,Regions!A:B,2,0)</f>
        <v>Europe &amp; Central Asia</v>
      </c>
      <c r="C29" s="2">
        <v>2020</v>
      </c>
      <c r="D29" s="2" t="str">
        <f>IF(A30=A29,ABS(C30-C29),"")</f>
        <v/>
      </c>
      <c r="E29" s="2" t="str">
        <f>IFERROR(IF(A30=A29,((H29-H30)/(C29-C30)), ""), "null")</f>
        <v/>
      </c>
      <c r="F29" s="2">
        <v>10139.174800000001</v>
      </c>
      <c r="G29" s="2">
        <v>56.397003169999998</v>
      </c>
      <c r="H29" s="2">
        <v>96.043376129999999</v>
      </c>
      <c r="I29" s="2">
        <f>IFERROR(ROUND(H29,0),"null")</f>
        <v>96</v>
      </c>
      <c r="J29" s="2" t="str">
        <f>IF(AND(A30=A29,I29=100,I30=100),"full access", " ")</f>
        <v xml:space="preserve"> </v>
      </c>
      <c r="K29" s="2">
        <v>1.04278118</v>
      </c>
      <c r="L29" s="2">
        <v>2.9138426879999999</v>
      </c>
      <c r="M29" s="2">
        <v>0</v>
      </c>
      <c r="N29" s="2">
        <v>90.925797950000003</v>
      </c>
      <c r="O29" s="2">
        <f>IFERROR(ROUND(N29,0),"null")</f>
        <v>91</v>
      </c>
      <c r="P29" s="2" t="str">
        <f>IF(AND(A29=A30,O29=100,O30=100),"full access"," ")</f>
        <v xml:space="preserve"> </v>
      </c>
      <c r="Q29" s="2" t="str">
        <f>IFERROR(IF(A30=A29,((N29-N30)/(C29-C30)),""),"null")</f>
        <v/>
      </c>
      <c r="R29" s="2">
        <v>2.3915356710000002</v>
      </c>
      <c r="S29" s="2">
        <v>6.6826663770000003</v>
      </c>
      <c r="T29" s="2">
        <v>0</v>
      </c>
      <c r="U29" s="2">
        <v>100</v>
      </c>
      <c r="V29" s="2">
        <f>IFERROR(ROUND(U29,0),"null")</f>
        <v>100</v>
      </c>
      <c r="W29" s="2" t="str">
        <f>IF(AND(A29=A30,V29=100,V30=100),"full access","")</f>
        <v/>
      </c>
      <c r="X29" s="2" t="str">
        <f>IFERROR(IF(A30=A29,((U29-U30)/(C29-C30)),""),"null")</f>
        <v/>
      </c>
      <c r="Y29" s="2">
        <v>0</v>
      </c>
      <c r="Z29" s="2">
        <v>0</v>
      </c>
      <c r="AA29" s="2">
        <v>0</v>
      </c>
      <c r="AB29" s="2" t="str">
        <f>IFERROR(IF(A30=A29, Q29-X29, ""), "null")</f>
        <v/>
      </c>
    </row>
    <row r="30" spans="1:28">
      <c r="A30" s="2" t="s">
        <v>56</v>
      </c>
      <c r="B30" s="2" t="str">
        <f>VLOOKUP(A30,Regions!A:B,2,0)</f>
        <v>Latin America &amp; Caribbean</v>
      </c>
      <c r="C30" s="2">
        <v>2015</v>
      </c>
      <c r="D30" s="2">
        <f>IF(A31=A30,ABS(C31-C30),"")</f>
        <v>4</v>
      </c>
      <c r="E30" s="2">
        <f>IFERROR(IF(A31=A30,((H30-H31)/(C30-C31)), ""), "null")</f>
        <v>0</v>
      </c>
      <c r="F30" s="2">
        <v>374.2000122</v>
      </c>
      <c r="G30" s="2">
        <v>82.745994569999993</v>
      </c>
      <c r="H30" s="2">
        <v>98.886960500000001</v>
      </c>
      <c r="I30" s="2">
        <f>IFERROR(ROUND(H30,0),"null")</f>
        <v>99</v>
      </c>
      <c r="J30" s="2" t="str">
        <f>IF(AND(A31=A30,I30=100,I31=100),"full access", " ")</f>
        <v xml:space="preserve"> </v>
      </c>
      <c r="K30" s="2">
        <v>0</v>
      </c>
      <c r="L30" s="2">
        <v>1.113039503</v>
      </c>
      <c r="M30" s="2">
        <v>0</v>
      </c>
      <c r="N30" s="2" t="s">
        <v>45</v>
      </c>
      <c r="O30" s="2" t="str">
        <f>IFERROR(ROUND(N30,0),"null")</f>
        <v>null</v>
      </c>
      <c r="P30" s="2" t="str">
        <f>IF(AND(A30=A31,O30=100,O31=100),"full access"," ")</f>
        <v xml:space="preserve"> </v>
      </c>
      <c r="Q30" s="2" t="str">
        <f>IFERROR(IF(A31=A30,((N30-N31)/(C30-C31)),""),"null")</f>
        <v>null</v>
      </c>
      <c r="R30" s="2" t="s">
        <v>45</v>
      </c>
      <c r="S30" s="2" t="s">
        <v>45</v>
      </c>
      <c r="T30" s="2" t="s">
        <v>45</v>
      </c>
      <c r="U30" s="2" t="s">
        <v>45</v>
      </c>
      <c r="V30" s="2" t="str">
        <f>IFERROR(ROUND(U30,0),"null")</f>
        <v>null</v>
      </c>
      <c r="W30" s="2" t="str">
        <f>IF(AND(A30=A31,V30=100,V31=100),"full access","")</f>
        <v/>
      </c>
      <c r="X30" s="2" t="str">
        <f>IFERROR(IF(A31=A30,((U30-U31)/(C30-C31)),""),"null")</f>
        <v>null</v>
      </c>
      <c r="Y30" s="2" t="s">
        <v>45</v>
      </c>
      <c r="Z30" s="2" t="s">
        <v>45</v>
      </c>
      <c r="AA30" s="2" t="s">
        <v>45</v>
      </c>
      <c r="AB30" s="2" t="str">
        <f>IFERROR(IF(A31=A30, Q30-X30, ""), "null")</f>
        <v>null</v>
      </c>
    </row>
    <row r="31" spans="1:28">
      <c r="A31" s="2" t="s">
        <v>56</v>
      </c>
      <c r="B31" s="2" t="str">
        <f>VLOOKUP(A31,Regions!A:B,2,0)</f>
        <v>Latin America &amp; Caribbean</v>
      </c>
      <c r="C31" s="2">
        <v>2019</v>
      </c>
      <c r="D31" s="2" t="str">
        <f>IF(A32=A31,ABS(C32-C31),"")</f>
        <v/>
      </c>
      <c r="E31" s="2" t="str">
        <f>IFERROR(IF(A32=A31,((H31-H32)/(C31-C32)), ""), "null")</f>
        <v/>
      </c>
      <c r="F31" s="2">
        <v>389.48599239999999</v>
      </c>
      <c r="G31" s="2">
        <v>83.131996150000006</v>
      </c>
      <c r="H31" s="2">
        <v>98.886960500000001</v>
      </c>
      <c r="I31" s="2">
        <f>IFERROR(ROUND(H31,0),"null")</f>
        <v>99</v>
      </c>
      <c r="J31" s="2" t="str">
        <f>IF(AND(A32=A31,I31=100,I32=100),"full access", " ")</f>
        <v xml:space="preserve"> </v>
      </c>
      <c r="K31" s="2">
        <v>0</v>
      </c>
      <c r="L31" s="2">
        <v>1.113039503</v>
      </c>
      <c r="M31" s="2">
        <v>0</v>
      </c>
      <c r="N31" s="2" t="s">
        <v>45</v>
      </c>
      <c r="O31" s="2" t="str">
        <f>IFERROR(ROUND(N31,0),"null")</f>
        <v>null</v>
      </c>
      <c r="P31" s="2" t="str">
        <f>IF(AND(A31=A32,O31=100,O32=100),"full access"," ")</f>
        <v xml:space="preserve"> </v>
      </c>
      <c r="Q31" s="2" t="str">
        <f>IFERROR(IF(A32=A31,((N31-N32)/(C31-C32)),""),"null")</f>
        <v/>
      </c>
      <c r="R31" s="2" t="s">
        <v>45</v>
      </c>
      <c r="S31" s="2" t="s">
        <v>45</v>
      </c>
      <c r="T31" s="2" t="s">
        <v>45</v>
      </c>
      <c r="U31" s="2" t="s">
        <v>45</v>
      </c>
      <c r="V31" s="2" t="str">
        <f>IFERROR(ROUND(U31,0),"null")</f>
        <v>null</v>
      </c>
      <c r="W31" s="2" t="str">
        <f>IF(AND(A31=A32,V31=100,V32=100),"full access","")</f>
        <v/>
      </c>
      <c r="X31" s="2" t="str">
        <f>IFERROR(IF(A32=A31,((U31-U32)/(C31-C32)),""),"null")</f>
        <v/>
      </c>
      <c r="Y31" s="2" t="s">
        <v>45</v>
      </c>
      <c r="Z31" s="2" t="s">
        <v>45</v>
      </c>
      <c r="AA31" s="2" t="s">
        <v>45</v>
      </c>
      <c r="AB31" s="2" t="str">
        <f>IFERROR(IF(A32=A31, Q31-X31, ""), "null")</f>
        <v/>
      </c>
    </row>
    <row r="32" spans="1:28">
      <c r="A32" s="2" t="s">
        <v>57</v>
      </c>
      <c r="B32" s="2" t="str">
        <f>VLOOKUP(A32,Regions!A:B,2,0)</f>
        <v>Europe &amp; Central Asia</v>
      </c>
      <c r="C32" s="2">
        <v>2015</v>
      </c>
      <c r="D32" s="2">
        <f>IF(A33=A32,ABS(C33-C32),"")</f>
        <v>5</v>
      </c>
      <c r="E32" s="2">
        <f>IFERROR(IF(A33=A32,((H32-H33)/(C32-C33)), ""), "null")</f>
        <v>0</v>
      </c>
      <c r="F32" s="2">
        <v>1371.8530270000001</v>
      </c>
      <c r="G32" s="2">
        <v>88.998992920000006</v>
      </c>
      <c r="H32" s="2">
        <v>100</v>
      </c>
      <c r="I32" s="2">
        <f>IFERROR(ROUND(H32,0),"null")</f>
        <v>100</v>
      </c>
      <c r="J32" s="2" t="str">
        <f>IF(AND(A33=A32,I32=100,I33=100),"full access", " ")</f>
        <v>full access</v>
      </c>
      <c r="K32" s="2">
        <v>0</v>
      </c>
      <c r="L32" s="2">
        <v>0</v>
      </c>
      <c r="M32" s="2">
        <v>0</v>
      </c>
      <c r="N32" s="2" t="s">
        <v>45</v>
      </c>
      <c r="O32" s="2" t="str">
        <f>IFERROR(ROUND(N32,0),"null")</f>
        <v>null</v>
      </c>
      <c r="P32" s="2" t="str">
        <f>IF(AND(A32=A33,O32=100,O33=100),"full access"," ")</f>
        <v xml:space="preserve"> </v>
      </c>
      <c r="Q32" s="2" t="str">
        <f>IFERROR(IF(A33=A32,((N32-N33)/(C32-C33)),""),"null")</f>
        <v>null</v>
      </c>
      <c r="R32" s="2" t="s">
        <v>45</v>
      </c>
      <c r="S32" s="2" t="s">
        <v>45</v>
      </c>
      <c r="T32" s="2" t="s">
        <v>45</v>
      </c>
      <c r="U32" s="2" t="s">
        <v>45</v>
      </c>
      <c r="V32" s="2" t="str">
        <f>IFERROR(ROUND(U32,0),"null")</f>
        <v>null</v>
      </c>
      <c r="W32" s="2" t="str">
        <f>IF(AND(A32=A33,V32=100,V33=100),"full access","")</f>
        <v/>
      </c>
      <c r="X32" s="2" t="str">
        <f>IFERROR(IF(A33=A32,((U32-U33)/(C32-C33)),""),"null")</f>
        <v>null</v>
      </c>
      <c r="Y32" s="2" t="s">
        <v>45</v>
      </c>
      <c r="Z32" s="2" t="s">
        <v>45</v>
      </c>
      <c r="AA32" s="2" t="s">
        <v>45</v>
      </c>
      <c r="AB32" s="2" t="str">
        <f>IFERROR(IF(A33=A32, Q32-X32, ""), "null")</f>
        <v>null</v>
      </c>
    </row>
    <row r="33" spans="1:28">
      <c r="A33" s="2" t="s">
        <v>57</v>
      </c>
      <c r="B33" s="2" t="str">
        <f>VLOOKUP(A33,Regions!A:B,2,0)</f>
        <v>Europe &amp; Central Asia</v>
      </c>
      <c r="C33" s="2">
        <v>2020</v>
      </c>
      <c r="D33" s="2" t="str">
        <f>IF(A34=A33,ABS(C34-C33),"")</f>
        <v/>
      </c>
      <c r="E33" s="2" t="str">
        <f>IFERROR(IF(A34=A33,((H33-H34)/(C33-C34)), ""), "null")</f>
        <v/>
      </c>
      <c r="F33" s="2">
        <v>1701.5830080000001</v>
      </c>
      <c r="G33" s="2">
        <v>89.506004329999996</v>
      </c>
      <c r="H33" s="2">
        <v>100</v>
      </c>
      <c r="I33" s="2">
        <f>IFERROR(ROUND(H33,0),"null")</f>
        <v>100</v>
      </c>
      <c r="J33" s="2" t="str">
        <f>IF(AND(A34=A33,I33=100,I34=100),"full access", " ")</f>
        <v xml:space="preserve"> </v>
      </c>
      <c r="K33" s="2">
        <v>0</v>
      </c>
      <c r="L33" s="2">
        <v>0</v>
      </c>
      <c r="M33" s="2">
        <v>0</v>
      </c>
      <c r="N33" s="2" t="s">
        <v>45</v>
      </c>
      <c r="O33" s="2" t="str">
        <f>IFERROR(ROUND(N33,0),"null")</f>
        <v>null</v>
      </c>
      <c r="P33" s="2" t="str">
        <f>IF(AND(A33=A34,O33=100,O34=100),"full access"," ")</f>
        <v xml:space="preserve"> </v>
      </c>
      <c r="Q33" s="2" t="str">
        <f>IFERROR(IF(A34=A33,((N33-N34)/(C33-C34)),""),"null")</f>
        <v/>
      </c>
      <c r="R33" s="2" t="s">
        <v>45</v>
      </c>
      <c r="S33" s="2" t="s">
        <v>45</v>
      </c>
      <c r="T33" s="2" t="s">
        <v>45</v>
      </c>
      <c r="U33" s="2" t="s">
        <v>45</v>
      </c>
      <c r="V33" s="2" t="str">
        <f>IFERROR(ROUND(U33,0),"null")</f>
        <v>null</v>
      </c>
      <c r="W33" s="2" t="str">
        <f>IF(AND(A33=A34,V33=100,V34=100),"full access","")</f>
        <v/>
      </c>
      <c r="X33" s="2" t="str">
        <f>IFERROR(IF(A34=A33,((U33-U34)/(C33-C34)),""),"null")</f>
        <v/>
      </c>
      <c r="Y33" s="2" t="s">
        <v>45</v>
      </c>
      <c r="Z33" s="2" t="s">
        <v>45</v>
      </c>
      <c r="AA33" s="2" t="s">
        <v>45</v>
      </c>
      <c r="AB33" s="2" t="str">
        <f>IFERROR(IF(A34=A33, Q33-X33, ""), "null")</f>
        <v/>
      </c>
    </row>
    <row r="34" spans="1:28">
      <c r="A34" s="2" t="s">
        <v>58</v>
      </c>
      <c r="B34" s="2" t="str">
        <f>VLOOKUP(A34,Regions!A:B,2,0)</f>
        <v>South Asia</v>
      </c>
      <c r="C34" s="2">
        <v>2015</v>
      </c>
      <c r="D34" s="2">
        <f>IF(A35=A34,ABS(C35-C34),"")</f>
        <v>5</v>
      </c>
      <c r="E34" s="2">
        <f>IFERROR(IF(A35=A34,((H34-H35)/(C34-C35)), ""), "null")</f>
        <v>0.11927155599999821</v>
      </c>
      <c r="F34" s="2">
        <v>156256.2813</v>
      </c>
      <c r="G34" s="2">
        <v>34.308002469999998</v>
      </c>
      <c r="H34" s="2">
        <v>97.101602470000003</v>
      </c>
      <c r="I34" s="2">
        <f>IFERROR(ROUND(H34,0),"null")</f>
        <v>97</v>
      </c>
      <c r="J34" s="2" t="str">
        <f>IF(AND(A35=A34,I34=100,I35=100),"full access", " ")</f>
        <v xml:space="preserve"> </v>
      </c>
      <c r="K34" s="2">
        <v>1.087988961</v>
      </c>
      <c r="L34" s="2">
        <v>0.72156165819999996</v>
      </c>
      <c r="M34" s="2">
        <v>1.08884691</v>
      </c>
      <c r="N34" s="2">
        <v>96.773011280000006</v>
      </c>
      <c r="O34" s="2">
        <f>IFERROR(ROUND(N34,0),"null")</f>
        <v>97</v>
      </c>
      <c r="P34" s="2" t="str">
        <f>IF(AND(A34=A35,O34=100,O35=100),"full access"," ")</f>
        <v xml:space="preserve"> </v>
      </c>
      <c r="Q34" s="2">
        <f>IFERROR(IF(A35=A34,((N34-N35)/(C34-C35)),""),"null")</f>
        <v>0.22144529599999885</v>
      </c>
      <c r="R34" s="2">
        <v>1.0462141620000001</v>
      </c>
      <c r="S34" s="2">
        <v>0.73174732170000001</v>
      </c>
      <c r="T34" s="2">
        <v>1.4490272369999999</v>
      </c>
      <c r="U34" s="2">
        <v>97.730779679999998</v>
      </c>
      <c r="V34" s="2">
        <f>IFERROR(ROUND(U34,0),"null")</f>
        <v>98</v>
      </c>
      <c r="W34" s="2" t="str">
        <f>IF(AND(A34=A35,V34=100,V35=100),"full access","")</f>
        <v/>
      </c>
      <c r="X34" s="2">
        <f>IFERROR(IF(A35=A34,((U34-U35)/(C34-C35)),""),"null")</f>
        <v>-6.5600341999999048E-2</v>
      </c>
      <c r="Y34" s="2">
        <v>1.167978177</v>
      </c>
      <c r="Z34" s="2">
        <v>0.70205843499999998</v>
      </c>
      <c r="AA34" s="2">
        <v>0.39918370739999998</v>
      </c>
      <c r="AB34" s="2">
        <f>IFERROR(IF(A35=A34, Q34-X34, ""), "null")</f>
        <v>0.28704563799999788</v>
      </c>
    </row>
    <row r="35" spans="1:28">
      <c r="A35" s="2" t="s">
        <v>58</v>
      </c>
      <c r="B35" s="2" t="str">
        <f>VLOOKUP(A35,Regions!A:B,2,0)</f>
        <v>South Asia</v>
      </c>
      <c r="C35" s="2">
        <v>2020</v>
      </c>
      <c r="D35" s="2" t="str">
        <f>IF(A36=A35,ABS(C36-C35),"")</f>
        <v/>
      </c>
      <c r="E35" s="2" t="str">
        <f>IFERROR(IF(A36=A35,((H35-H36)/(C35-C36)), ""), "null")</f>
        <v/>
      </c>
      <c r="F35" s="2">
        <v>164689.39060000001</v>
      </c>
      <c r="G35" s="2">
        <v>38.177001949999998</v>
      </c>
      <c r="H35" s="2">
        <v>97.697960249999994</v>
      </c>
      <c r="I35" s="2">
        <f>IFERROR(ROUND(H35,0),"null")</f>
        <v>98</v>
      </c>
      <c r="J35" s="2" t="str">
        <f>IF(AND(A36=A35,I35=100,I36=100),"full access", " ")</f>
        <v xml:space="preserve"> </v>
      </c>
      <c r="K35" s="2">
        <v>1.1564258780000001</v>
      </c>
      <c r="L35" s="2">
        <v>0.46265570020000002</v>
      </c>
      <c r="M35" s="2">
        <v>0.68295817349999999</v>
      </c>
      <c r="N35" s="2">
        <v>97.88023776</v>
      </c>
      <c r="O35" s="2">
        <f>IFERROR(ROUND(N35,0),"null")</f>
        <v>98</v>
      </c>
      <c r="P35" s="2" t="str">
        <f>IF(AND(A35=A36,O35=100,O36=100),"full access"," ")</f>
        <v xml:space="preserve"> </v>
      </c>
      <c r="Q35" s="2" t="str">
        <f>IFERROR(IF(A36=A35,((N35-N36)/(C35-C36)),""),"null")</f>
        <v/>
      </c>
      <c r="R35" s="2">
        <v>0.85810498040000005</v>
      </c>
      <c r="S35" s="2">
        <v>0.31648024139999997</v>
      </c>
      <c r="T35" s="2">
        <v>0.94517701509999996</v>
      </c>
      <c r="U35" s="2">
        <v>97.402777970000002</v>
      </c>
      <c r="V35" s="2">
        <f>IFERROR(ROUND(U35,0),"null")</f>
        <v>97</v>
      </c>
      <c r="W35" s="2" t="str">
        <f>IF(AND(A35=A36,V35=100,V36=100),"full access","")</f>
        <v/>
      </c>
      <c r="X35" s="2" t="str">
        <f>IFERROR(IF(A36=A35,((U35-U36)/(C35-C36)),""),"null")</f>
        <v/>
      </c>
      <c r="Y35" s="2">
        <v>1.6395201210000001</v>
      </c>
      <c r="Z35" s="2">
        <v>0.69937521469999997</v>
      </c>
      <c r="AA35" s="2">
        <v>0.25832669339999997</v>
      </c>
      <c r="AB35" s="2" t="str">
        <f>IFERROR(IF(A36=A35, Q35-X35, ""), "null")</f>
        <v/>
      </c>
    </row>
    <row r="36" spans="1:28">
      <c r="A36" s="2" t="s">
        <v>59</v>
      </c>
      <c r="B36" s="2" t="str">
        <f>VLOOKUP(A36,Regions!A:B,2,0)</f>
        <v>Latin America &amp; Caribbean</v>
      </c>
      <c r="C36" s="2">
        <v>2015</v>
      </c>
      <c r="D36" s="2">
        <f>IF(A37=A36,ABS(C37-C36),"")</f>
        <v>5</v>
      </c>
      <c r="E36" s="2">
        <f>IFERROR(IF(A37=A36,((H36-H37)/(C36-C37)), ""), "null")</f>
        <v>8.0011360000014527E-3</v>
      </c>
      <c r="F36" s="2">
        <v>285.32699580000002</v>
      </c>
      <c r="G36" s="2">
        <v>31.24899864</v>
      </c>
      <c r="H36" s="2">
        <v>98.474444739999996</v>
      </c>
      <c r="I36" s="2">
        <f>IFERROR(ROUND(H36,0),"null")</f>
        <v>98</v>
      </c>
      <c r="J36" s="2" t="str">
        <f>IF(AND(A37=A36,I36=100,I37=100),"full access", " ")</f>
        <v xml:space="preserve"> </v>
      </c>
      <c r="K36" s="2">
        <v>0.26749190639999998</v>
      </c>
      <c r="L36" s="2">
        <v>1.2580633510000001</v>
      </c>
      <c r="M36" s="2">
        <v>0</v>
      </c>
      <c r="N36" s="2" t="s">
        <v>45</v>
      </c>
      <c r="O36" s="2" t="str">
        <f>IFERROR(ROUND(N36,0),"null")</f>
        <v>null</v>
      </c>
      <c r="P36" s="2" t="str">
        <f>IF(AND(A36=A37,O36=100,O37=100),"full access"," ")</f>
        <v xml:space="preserve"> </v>
      </c>
      <c r="Q36" s="2" t="str">
        <f>IFERROR(IF(A37=A36,((N36-N37)/(C36-C37)),""),"null")</f>
        <v>null</v>
      </c>
      <c r="R36" s="2" t="s">
        <v>45</v>
      </c>
      <c r="S36" s="2" t="s">
        <v>45</v>
      </c>
      <c r="T36" s="2" t="s">
        <v>45</v>
      </c>
      <c r="U36" s="2" t="s">
        <v>45</v>
      </c>
      <c r="V36" s="2" t="str">
        <f>IFERROR(ROUND(U36,0),"null")</f>
        <v>null</v>
      </c>
      <c r="W36" s="2" t="str">
        <f>IF(AND(A36=A37,V36=100,V37=100),"full access","")</f>
        <v/>
      </c>
      <c r="X36" s="2" t="str">
        <f>IFERROR(IF(A37=A36,((U36-U37)/(C36-C37)),""),"null")</f>
        <v>null</v>
      </c>
      <c r="Y36" s="2" t="s">
        <v>45</v>
      </c>
      <c r="Z36" s="2" t="s">
        <v>45</v>
      </c>
      <c r="AA36" s="2" t="s">
        <v>45</v>
      </c>
      <c r="AB36" s="2" t="str">
        <f>IFERROR(IF(A37=A36, Q36-X36, ""), "null")</f>
        <v>null</v>
      </c>
    </row>
    <row r="37" spans="1:28">
      <c r="A37" s="2" t="s">
        <v>59</v>
      </c>
      <c r="B37" s="2" t="str">
        <f>VLOOKUP(A37,Regions!A:B,2,0)</f>
        <v>Latin America &amp; Caribbean</v>
      </c>
      <c r="C37" s="2">
        <v>2020</v>
      </c>
      <c r="D37" s="2" t="str">
        <f>IF(A38=A37,ABS(C38-C37),"")</f>
        <v/>
      </c>
      <c r="E37" s="2" t="str">
        <f>IFERROR(IF(A38=A37,((H37-H38)/(C37-C38)), ""), "null")</f>
        <v/>
      </c>
      <c r="F37" s="2">
        <v>287.37100220000002</v>
      </c>
      <c r="G37" s="2">
        <v>31.190999980000001</v>
      </c>
      <c r="H37" s="2">
        <v>98.514450420000003</v>
      </c>
      <c r="I37" s="2">
        <f>IFERROR(ROUND(H37,0),"null")</f>
        <v>99</v>
      </c>
      <c r="J37" s="2" t="str">
        <f>IF(AND(A38=A37,I37=100,I38=100),"full access", " ")</f>
        <v xml:space="preserve"> </v>
      </c>
      <c r="K37" s="2">
        <v>0.26760057609999999</v>
      </c>
      <c r="L37" s="2">
        <v>1.2179490049999999</v>
      </c>
      <c r="M37" s="2">
        <v>0</v>
      </c>
      <c r="N37" s="2" t="s">
        <v>45</v>
      </c>
      <c r="O37" s="2" t="str">
        <f>IFERROR(ROUND(N37,0),"null")</f>
        <v>null</v>
      </c>
      <c r="P37" s="2" t="str">
        <f>IF(AND(A37=A38,O37=100,O38=100),"full access"," ")</f>
        <v xml:space="preserve"> </v>
      </c>
      <c r="Q37" s="2" t="str">
        <f>IFERROR(IF(A38=A37,((N37-N38)/(C37-C38)),""),"null")</f>
        <v/>
      </c>
      <c r="R37" s="2" t="s">
        <v>45</v>
      </c>
      <c r="S37" s="2" t="s">
        <v>45</v>
      </c>
      <c r="T37" s="2" t="s">
        <v>45</v>
      </c>
      <c r="U37" s="2" t="s">
        <v>45</v>
      </c>
      <c r="V37" s="2" t="str">
        <f>IFERROR(ROUND(U37,0),"null")</f>
        <v>null</v>
      </c>
      <c r="W37" s="2" t="str">
        <f>IF(AND(A37=A38,V37=100,V38=100),"full access","")</f>
        <v/>
      </c>
      <c r="X37" s="2" t="str">
        <f>IFERROR(IF(A38=A37,((U37-U38)/(C37-C38)),""),"null")</f>
        <v/>
      </c>
      <c r="Y37" s="2" t="s">
        <v>45</v>
      </c>
      <c r="Z37" s="2" t="s">
        <v>45</v>
      </c>
      <c r="AA37" s="2" t="s">
        <v>45</v>
      </c>
      <c r="AB37" s="2" t="str">
        <f>IFERROR(IF(A38=A37, Q37-X37, ""), "null")</f>
        <v/>
      </c>
    </row>
    <row r="38" spans="1:28">
      <c r="A38" s="2" t="s">
        <v>60</v>
      </c>
      <c r="B38" s="2" t="str">
        <f>VLOOKUP(A38,Regions!A:B,2,0)</f>
        <v>Europe &amp; Central Asia</v>
      </c>
      <c r="C38" s="2">
        <v>2015</v>
      </c>
      <c r="D38" s="2">
        <f>IF(A39=A38,ABS(C39-C38),"")</f>
        <v>5</v>
      </c>
      <c r="E38" s="2">
        <f>IFERROR(IF(A39=A38,((H38-H39)/(C38-C39)), ""), "null")</f>
        <v>1.1531797999998617E-2</v>
      </c>
      <c r="F38" s="2">
        <v>9439.4238280000009</v>
      </c>
      <c r="G38" s="2">
        <v>77.180999760000006</v>
      </c>
      <c r="H38" s="2">
        <v>96.477067090000006</v>
      </c>
      <c r="I38" s="2">
        <f>IFERROR(ROUND(H38,0),"null")</f>
        <v>96</v>
      </c>
      <c r="J38" s="2" t="str">
        <f>IF(AND(A39=A38,I38=100,I39=100),"full access", " ")</f>
        <v xml:space="preserve"> </v>
      </c>
      <c r="K38" s="2">
        <v>3.3001301079999998</v>
      </c>
      <c r="L38" s="2">
        <v>0.22280279950000001</v>
      </c>
      <c r="M38" s="2">
        <v>0</v>
      </c>
      <c r="N38" s="2">
        <v>98.330671600000002</v>
      </c>
      <c r="O38" s="2">
        <f>IFERROR(ROUND(N38,0),"null")</f>
        <v>98</v>
      </c>
      <c r="P38" s="2" t="str">
        <f>IF(AND(A38=A39,O38=100,O39=100),"full access"," ")</f>
        <v xml:space="preserve"> </v>
      </c>
      <c r="Q38" s="2">
        <f>IFERROR(IF(A39=A38,((N38-N39)/(C38-C39)),""),"null")</f>
        <v>4.6690141999999921E-2</v>
      </c>
      <c r="R38" s="2">
        <v>0.99323910709999996</v>
      </c>
      <c r="S38" s="2">
        <v>0.67608928950000002</v>
      </c>
      <c r="T38" s="2">
        <v>0</v>
      </c>
      <c r="U38" s="2">
        <v>95.92903518</v>
      </c>
      <c r="V38" s="2">
        <f>IFERROR(ROUND(U38,0),"null")</f>
        <v>96</v>
      </c>
      <c r="W38" s="2" t="str">
        <f>IF(AND(A38=A39,V38=100,V39=100),"full access","")</f>
        <v/>
      </c>
      <c r="X38" s="2">
        <f>IFERROR(IF(A39=A38,((U38-U39)/(C38-C39)),""),"null")</f>
        <v>1.6367687999999703E-2</v>
      </c>
      <c r="Y38" s="2">
        <v>3.9821753929999999</v>
      </c>
      <c r="Z38" s="2">
        <v>8.8789423830000005E-2</v>
      </c>
      <c r="AA38" s="2">
        <v>0</v>
      </c>
      <c r="AB38" s="2">
        <f>IFERROR(IF(A39=A38, Q38-X38, ""), "null")</f>
        <v>3.0322454000000217E-2</v>
      </c>
    </row>
    <row r="39" spans="1:28">
      <c r="A39" s="2" t="s">
        <v>60</v>
      </c>
      <c r="B39" s="2" t="str">
        <f>VLOOKUP(A39,Regions!A:B,2,0)</f>
        <v>Europe &amp; Central Asia</v>
      </c>
      <c r="C39" s="2">
        <v>2020</v>
      </c>
      <c r="D39" s="2" t="str">
        <f>IF(A40=A39,ABS(C40-C39),"")</f>
        <v/>
      </c>
      <c r="E39" s="2" t="str">
        <f>IFERROR(IF(A40=A39,((H39-H40)/(C39-C40)), ""), "null")</f>
        <v/>
      </c>
      <c r="F39" s="2">
        <v>9449.3212889999995</v>
      </c>
      <c r="G39" s="2">
        <v>79.483001709999996</v>
      </c>
      <c r="H39" s="2">
        <v>96.534726079999999</v>
      </c>
      <c r="I39" s="2">
        <f>IFERROR(ROUND(H39,0),"null")</f>
        <v>97</v>
      </c>
      <c r="J39" s="2" t="str">
        <f>IF(AND(A40=A39,I39=100,I40=100),"full access", " ")</f>
        <v xml:space="preserve"> </v>
      </c>
      <c r="K39" s="2">
        <v>3.3721195499999999</v>
      </c>
      <c r="L39" s="2">
        <v>9.3154368370000004E-2</v>
      </c>
      <c r="M39" s="2">
        <v>0</v>
      </c>
      <c r="N39" s="2">
        <v>98.564122310000002</v>
      </c>
      <c r="O39" s="2">
        <f>IFERROR(ROUND(N39,0),"null")</f>
        <v>99</v>
      </c>
      <c r="P39" s="2" t="str">
        <f>IF(AND(A39=A40,O39=100,O40=100),"full access"," ")</f>
        <v xml:space="preserve"> </v>
      </c>
      <c r="Q39" s="2" t="str">
        <f>IFERROR(IF(A40=A39,((N39-N40)/(C39-C40)),""),"null")</f>
        <v/>
      </c>
      <c r="R39" s="2">
        <v>0.9955971951</v>
      </c>
      <c r="S39" s="2">
        <v>0.4402804931</v>
      </c>
      <c r="T39" s="2">
        <v>0</v>
      </c>
      <c r="U39" s="2">
        <v>96.010873619999998</v>
      </c>
      <c r="V39" s="2">
        <f>IFERROR(ROUND(U39,0),"null")</f>
        <v>96</v>
      </c>
      <c r="W39" s="2" t="str">
        <f>IF(AND(A39=A40,V39=100,V40=100),"full access","")</f>
        <v/>
      </c>
      <c r="X39" s="2" t="str">
        <f>IFERROR(IF(A40=A39,((U39-U40)/(C39-C40)),""),"null")</f>
        <v/>
      </c>
      <c r="Y39" s="2">
        <v>3.9855726439999999</v>
      </c>
      <c r="Z39" s="2">
        <v>3.5537319770000001E-3</v>
      </c>
      <c r="AA39" s="2">
        <v>0</v>
      </c>
      <c r="AB39" s="2" t="str">
        <f>IFERROR(IF(A40=A39, Q39-X39, ""), "null")</f>
        <v/>
      </c>
    </row>
    <row r="40" spans="1:28">
      <c r="A40" s="2" t="s">
        <v>61</v>
      </c>
      <c r="B40" s="2" t="str">
        <f>VLOOKUP(A40,Regions!A:B,2,0)</f>
        <v>Europe &amp; Central Asia</v>
      </c>
      <c r="C40" s="2">
        <v>2015</v>
      </c>
      <c r="D40" s="2">
        <f>IF(A41=A40,ABS(C41-C40),"")</f>
        <v>5</v>
      </c>
      <c r="E40" s="2">
        <f>IFERROR(IF(A41=A40,((H40-H41)/(C40-C41)), ""), "null")</f>
        <v>-2.4999999936881068E-7</v>
      </c>
      <c r="F40" s="2">
        <v>11287.93066</v>
      </c>
      <c r="G40" s="2">
        <v>97.875999449999995</v>
      </c>
      <c r="H40" s="2">
        <v>99.999997699999994</v>
      </c>
      <c r="I40" s="2">
        <f>IFERROR(ROUND(H40,0),"null")</f>
        <v>100</v>
      </c>
      <c r="J40" s="2" t="str">
        <f>IF(AND(A41=A40,I40=100,I41=100),"full access", " ")</f>
        <v>full access</v>
      </c>
      <c r="K40" s="2">
        <v>0</v>
      </c>
      <c r="L40" s="2">
        <v>2.2980245119999998E-6</v>
      </c>
      <c r="M40" s="2">
        <v>0</v>
      </c>
      <c r="N40" s="2">
        <v>100</v>
      </c>
      <c r="O40" s="2">
        <f>IFERROR(ROUND(N40,0),"null")</f>
        <v>100</v>
      </c>
      <c r="P40" s="2" t="str">
        <f>IF(AND(A40=A41,O40=100,O41=100),"full access"," ")</f>
        <v>full access</v>
      </c>
      <c r="Q40" s="2">
        <f>IFERROR(IF(A41=A40,((N40-N41)/(C40-C41)),""),"null")</f>
        <v>0</v>
      </c>
      <c r="R40" s="2">
        <v>0</v>
      </c>
      <c r="S40" s="2">
        <v>0</v>
      </c>
      <c r="T40" s="2">
        <v>0</v>
      </c>
      <c r="U40" s="2">
        <v>100</v>
      </c>
      <c r="V40" s="2">
        <f>IFERROR(ROUND(U40,0),"null")</f>
        <v>100</v>
      </c>
      <c r="W40" s="2" t="str">
        <f>IF(AND(A40=A41,V40=100,V41=100),"full access","")</f>
        <v>full access</v>
      </c>
      <c r="X40" s="2">
        <f>IFERROR(IF(A41=A40,((U40-U41)/(C40-C41)),""),"null")</f>
        <v>0</v>
      </c>
      <c r="Y40" s="2">
        <v>0</v>
      </c>
      <c r="Z40" s="2">
        <v>0</v>
      </c>
      <c r="AA40" s="2">
        <v>0</v>
      </c>
      <c r="AB40" s="2">
        <f>IFERROR(IF(A41=A40, Q40-X40, ""), "null")</f>
        <v>0</v>
      </c>
    </row>
    <row r="41" spans="1:28">
      <c r="A41" s="2" t="s">
        <v>61</v>
      </c>
      <c r="B41" s="2" t="str">
        <f>VLOOKUP(A41,Regions!A:B,2,0)</f>
        <v>Europe &amp; Central Asia</v>
      </c>
      <c r="C41" s="2">
        <v>2020</v>
      </c>
      <c r="D41" s="2" t="str">
        <f>IF(A42=A41,ABS(C42-C41),"")</f>
        <v/>
      </c>
      <c r="E41" s="2" t="str">
        <f>IFERROR(IF(A42=A41,((H41-H42)/(C41-C42)), ""), "null")</f>
        <v/>
      </c>
      <c r="F41" s="2">
        <v>11589.61621</v>
      </c>
      <c r="G41" s="2">
        <v>98.078994750000007</v>
      </c>
      <c r="H41" s="2">
        <v>99.999996449999998</v>
      </c>
      <c r="I41" s="2">
        <f>IFERROR(ROUND(H41,0),"null")</f>
        <v>100</v>
      </c>
      <c r="J41" s="2" t="str">
        <f>IF(AND(A42=A41,I41=100,I42=100),"full access", " ")</f>
        <v xml:space="preserve"> </v>
      </c>
      <c r="K41" s="2">
        <v>0</v>
      </c>
      <c r="L41" s="2">
        <v>3.5547967910000002E-6</v>
      </c>
      <c r="M41" s="2">
        <v>0</v>
      </c>
      <c r="N41" s="2">
        <v>100</v>
      </c>
      <c r="O41" s="2">
        <f>IFERROR(ROUND(N41,0),"null")</f>
        <v>100</v>
      </c>
      <c r="P41" s="2" t="str">
        <f>IF(AND(A41=A42,O41=100,O42=100),"full access"," ")</f>
        <v xml:space="preserve"> </v>
      </c>
      <c r="Q41" s="2" t="str">
        <f>IFERROR(IF(A42=A41,((N41-N42)/(C41-C42)),""),"null")</f>
        <v/>
      </c>
      <c r="R41" s="2">
        <v>0</v>
      </c>
      <c r="S41" s="2">
        <v>0</v>
      </c>
      <c r="T41" s="2">
        <v>0</v>
      </c>
      <c r="U41" s="2">
        <v>100</v>
      </c>
      <c r="V41" s="2">
        <f>IFERROR(ROUND(U41,0),"null")</f>
        <v>100</v>
      </c>
      <c r="W41" s="2" t="str">
        <f>IF(AND(A41=A42,V41=100,V42=100),"full access","")</f>
        <v/>
      </c>
      <c r="X41" s="2" t="str">
        <f>IFERROR(IF(A42=A41,((U41-U42)/(C41-C42)),""),"null")</f>
        <v/>
      </c>
      <c r="Y41" s="2">
        <v>0</v>
      </c>
      <c r="Z41" s="2">
        <v>0</v>
      </c>
      <c r="AA41" s="2">
        <v>0</v>
      </c>
      <c r="AB41" s="2" t="str">
        <f>IFERROR(IF(A42=A41, Q41-X41, ""), "null")</f>
        <v/>
      </c>
    </row>
    <row r="42" spans="1:28">
      <c r="A42" s="2" t="s">
        <v>62</v>
      </c>
      <c r="B42" s="2" t="str">
        <f>VLOOKUP(A42,Regions!A:B,2,0)</f>
        <v>Latin America &amp; Caribbean</v>
      </c>
      <c r="C42" s="2">
        <v>2015</v>
      </c>
      <c r="D42" s="2">
        <f>IF(A43=A42,ABS(C43-C42),"")</f>
        <v>5</v>
      </c>
      <c r="E42" s="2">
        <f>IFERROR(IF(A43=A42,((H42-H43)/(C42-C43)), ""), "null")</f>
        <v>0.24527193000000125</v>
      </c>
      <c r="F42" s="2">
        <v>360.92599489999998</v>
      </c>
      <c r="G42" s="2">
        <v>45.405998230000002</v>
      </c>
      <c r="H42" s="2">
        <v>97.17559498</v>
      </c>
      <c r="I42" s="2">
        <f>IFERROR(ROUND(H42,0),"null")</f>
        <v>97</v>
      </c>
      <c r="J42" s="2" t="str">
        <f>IF(AND(A43=A42,I42=100,I43=100),"full access", " ")</f>
        <v xml:space="preserve"> </v>
      </c>
      <c r="K42" s="2">
        <v>1.227940493</v>
      </c>
      <c r="L42" s="2">
        <v>1.5682225350000001</v>
      </c>
      <c r="M42" s="2">
        <v>2.8241988169999999E-2</v>
      </c>
      <c r="N42" s="2">
        <v>95.653832059999999</v>
      </c>
      <c r="O42" s="2">
        <f>IFERROR(ROUND(N42,0),"null")</f>
        <v>96</v>
      </c>
      <c r="P42" s="2" t="str">
        <f>IF(AND(A42=A43,O42=100,O43=100),"full access"," ")</f>
        <v xml:space="preserve"> </v>
      </c>
      <c r="Q42" s="2">
        <f>IFERROR(IF(A43=A42,((N42-N43)/(C42-C43)),""),"null")</f>
        <v>0.46827510399999994</v>
      </c>
      <c r="R42" s="2">
        <v>1.4219190049999999</v>
      </c>
      <c r="S42" s="2">
        <v>2.8725179939999999</v>
      </c>
      <c r="T42" s="2">
        <v>5.1730935759999999E-2</v>
      </c>
      <c r="U42" s="2">
        <v>99.005290000000002</v>
      </c>
      <c r="V42" s="2">
        <f>IFERROR(ROUND(U42,0),"null")</f>
        <v>99</v>
      </c>
      <c r="W42" s="2" t="str">
        <f>IF(AND(A42=A43,V42=100,V43=100),"full access","")</f>
        <v/>
      </c>
      <c r="X42" s="2">
        <f>IFERROR(IF(A43=A42,((U42-U43)/(C42-C43)),""),"null")</f>
        <v>-2.5265999999999168E-2</v>
      </c>
      <c r="Y42" s="2">
        <v>0.99470999999999998</v>
      </c>
      <c r="Z42" s="2">
        <v>0</v>
      </c>
      <c r="AA42" s="2">
        <v>0</v>
      </c>
      <c r="AB42" s="2">
        <f>IFERROR(IF(A43=A42, Q42-X42, ""), "null")</f>
        <v>0.49354110399999912</v>
      </c>
    </row>
    <row r="43" spans="1:28">
      <c r="A43" s="2" t="s">
        <v>62</v>
      </c>
      <c r="B43" s="2" t="str">
        <f>VLOOKUP(A43,Regions!A:B,2,0)</f>
        <v>Latin America &amp; Caribbean</v>
      </c>
      <c r="C43" s="2">
        <v>2020</v>
      </c>
      <c r="D43" s="2" t="str">
        <f>IF(A44=A43,ABS(C44-C43),"")</f>
        <v/>
      </c>
      <c r="E43" s="2" t="str">
        <f>IFERROR(IF(A44=A43,((H43-H44)/(C43-C44)), ""), "null")</f>
        <v/>
      </c>
      <c r="F43" s="2">
        <v>397.62100220000002</v>
      </c>
      <c r="G43" s="2">
        <v>46.025001529999997</v>
      </c>
      <c r="H43" s="2">
        <v>98.401954630000006</v>
      </c>
      <c r="I43" s="2">
        <f>IFERROR(ROUND(H43,0),"null")</f>
        <v>98</v>
      </c>
      <c r="J43" s="2" t="str">
        <f>IF(AND(A44=A43,I43=100,I44=100),"full access", " ")</f>
        <v xml:space="preserve"> </v>
      </c>
      <c r="K43" s="2">
        <v>1.249110629</v>
      </c>
      <c r="L43" s="2">
        <v>0.3489347411</v>
      </c>
      <c r="M43" s="2">
        <v>0</v>
      </c>
      <c r="N43" s="2">
        <v>97.995207579999999</v>
      </c>
      <c r="O43" s="2">
        <f>IFERROR(ROUND(N43,0),"null")</f>
        <v>98</v>
      </c>
      <c r="P43" s="2" t="str">
        <f>IF(AND(A43=A44,O43=100,O44=100),"full access"," ")</f>
        <v xml:space="preserve"> </v>
      </c>
      <c r="Q43" s="2" t="str">
        <f>IFERROR(IF(A44=A43,((N43-N44)/(C43-C44)),""),"null")</f>
        <v/>
      </c>
      <c r="R43" s="2">
        <v>1.358317682</v>
      </c>
      <c r="S43" s="2">
        <v>0.64647473929999999</v>
      </c>
      <c r="T43" s="2">
        <v>0</v>
      </c>
      <c r="U43" s="2">
        <v>98.878960000000006</v>
      </c>
      <c r="V43" s="2">
        <f>IFERROR(ROUND(U43,0),"null")</f>
        <v>99</v>
      </c>
      <c r="W43" s="2" t="str">
        <f>IF(AND(A43=A44,V43=100,V44=100),"full access","")</f>
        <v/>
      </c>
      <c r="X43" s="2" t="str">
        <f>IFERROR(IF(A44=A43,((U43-U44)/(C43-C44)),""),"null")</f>
        <v/>
      </c>
      <c r="Y43" s="2">
        <v>1.12104</v>
      </c>
      <c r="Z43" s="2">
        <v>0</v>
      </c>
      <c r="AA43" s="2">
        <v>0</v>
      </c>
      <c r="AB43" s="2" t="str">
        <f>IFERROR(IF(A44=A43, Q43-X43, ""), "null")</f>
        <v/>
      </c>
    </row>
    <row r="44" spans="1:28">
      <c r="A44" s="2" t="s">
        <v>63</v>
      </c>
      <c r="B44" s="2" t="str">
        <f>VLOOKUP(A44,Regions!A:B,2,0)</f>
        <v>Sub-Saharan Africa</v>
      </c>
      <c r="C44" s="2">
        <v>2015</v>
      </c>
      <c r="D44" s="2">
        <f>IF(A45=A44,ABS(C45-C44),"")</f>
        <v>5</v>
      </c>
      <c r="E44" s="2">
        <f>IFERROR(IF(A45=A44,((H44-H45)/(C44-C45)), ""), "null")</f>
        <v>0.12546013799999969</v>
      </c>
      <c r="F44" s="2">
        <v>10575.96191</v>
      </c>
      <c r="G44" s="2">
        <v>45.695003509999999</v>
      </c>
      <c r="H44" s="2">
        <v>64.786822299999997</v>
      </c>
      <c r="I44" s="2">
        <f>IFERROR(ROUND(H44,0),"null")</f>
        <v>65</v>
      </c>
      <c r="J44" s="2" t="str">
        <f>IF(AND(A45=A44,I44=100,I45=100),"full access", " ")</f>
        <v xml:space="preserve"> </v>
      </c>
      <c r="K44" s="2">
        <v>8.7154706540000006</v>
      </c>
      <c r="L44" s="2">
        <v>21.298464339999999</v>
      </c>
      <c r="M44" s="2">
        <v>5.1992427130000003</v>
      </c>
      <c r="N44" s="2">
        <v>56.784352470000002</v>
      </c>
      <c r="O44" s="2">
        <f>IFERROR(ROUND(N44,0),"null")</f>
        <v>57</v>
      </c>
      <c r="P44" s="2" t="str">
        <f>IF(AND(A44=A45,O44=100,O45=100),"full access"," ")</f>
        <v xml:space="preserve"> </v>
      </c>
      <c r="Q44" s="2">
        <f>IFERROR(IF(A45=A44,((N44-N45)/(C44-C45)),""),"null")</f>
        <v>0.25358310399999906</v>
      </c>
      <c r="R44" s="2">
        <v>11.70337067</v>
      </c>
      <c r="S44" s="2">
        <v>23.774978569999998</v>
      </c>
      <c r="T44" s="2">
        <v>7.7372982859999997</v>
      </c>
      <c r="U44" s="2">
        <v>74.297142559999998</v>
      </c>
      <c r="V44" s="2">
        <f>IFERROR(ROUND(U44,0),"null")</f>
        <v>74</v>
      </c>
      <c r="W44" s="2" t="str">
        <f>IF(AND(A44=A45,V44=100,V45=100),"full access","")</f>
        <v/>
      </c>
      <c r="X44" s="2">
        <f>IFERROR(IF(A45=A44,((U44-U45)/(C44-C45)),""),"null")</f>
        <v>-0.20782850399999972</v>
      </c>
      <c r="Y44" s="2">
        <v>5.1645811540000004</v>
      </c>
      <c r="Z44" s="2">
        <v>18.355317530000001</v>
      </c>
      <c r="AA44" s="2">
        <v>2.1829587560000001</v>
      </c>
      <c r="AB44" s="2">
        <f>IFERROR(IF(A45=A44, Q44-X44, ""), "null")</f>
        <v>0.46141160799999881</v>
      </c>
    </row>
    <row r="45" spans="1:28">
      <c r="A45" s="2" t="s">
        <v>63</v>
      </c>
      <c r="B45" s="2" t="str">
        <f>VLOOKUP(A45,Regions!A:B,2,0)</f>
        <v>Sub-Saharan Africa</v>
      </c>
      <c r="C45" s="2">
        <v>2020</v>
      </c>
      <c r="D45" s="2" t="str">
        <f>IF(A46=A45,ABS(C46-C45),"")</f>
        <v/>
      </c>
      <c r="E45" s="2" t="str">
        <f>IFERROR(IF(A46=A45,((H45-H46)/(C45-C46)), ""), "null")</f>
        <v/>
      </c>
      <c r="F45" s="2">
        <v>12123.19824</v>
      </c>
      <c r="G45" s="2">
        <v>48.414997100000001</v>
      </c>
      <c r="H45" s="2">
        <v>65.414122989999996</v>
      </c>
      <c r="I45" s="2">
        <f>IFERROR(ROUND(H45,0),"null")</f>
        <v>65</v>
      </c>
      <c r="J45" s="2" t="str">
        <f>IF(AND(A46=A45,I45=100,I46=100),"full access", " ")</f>
        <v xml:space="preserve"> </v>
      </c>
      <c r="K45" s="2">
        <v>9.317535586</v>
      </c>
      <c r="L45" s="2">
        <v>21.97254088</v>
      </c>
      <c r="M45" s="2">
        <v>3.2958005469999998</v>
      </c>
      <c r="N45" s="2">
        <v>58.052267989999997</v>
      </c>
      <c r="O45" s="2">
        <f>IFERROR(ROUND(N45,0),"null")</f>
        <v>58</v>
      </c>
      <c r="P45" s="2" t="str">
        <f>IF(AND(A45=A46,O45=100,O46=100),"full access"," ")</f>
        <v xml:space="preserve"> </v>
      </c>
      <c r="Q45" s="2" t="str">
        <f>IFERROR(IF(A46=A45,((N45-N46)/(C45-C46)),""),"null")</f>
        <v/>
      </c>
      <c r="R45" s="2">
        <v>12.705205039999999</v>
      </c>
      <c r="S45" s="2">
        <v>23.977968329999999</v>
      </c>
      <c r="T45" s="2">
        <v>5.2645586340000001</v>
      </c>
      <c r="U45" s="2">
        <v>73.258000039999999</v>
      </c>
      <c r="V45" s="2">
        <f>IFERROR(ROUND(U45,0),"null")</f>
        <v>73</v>
      </c>
      <c r="W45" s="2" t="str">
        <f>IF(AND(A45=A46,V45=100,V46=100),"full access","")</f>
        <v/>
      </c>
      <c r="X45" s="2" t="str">
        <f>IFERROR(IF(A46=A45,((U45-U46)/(C45-C46)),""),"null")</f>
        <v/>
      </c>
      <c r="Y45" s="2">
        <v>5.7080563529999999</v>
      </c>
      <c r="Z45" s="2">
        <v>19.835806810000001</v>
      </c>
      <c r="AA45" s="2">
        <v>1.1981367940000001</v>
      </c>
      <c r="AB45" s="2" t="str">
        <f>IFERROR(IF(A46=A45, Q45-X45, ""), "null")</f>
        <v/>
      </c>
    </row>
    <row r="46" spans="1:28">
      <c r="A46" s="2" t="s">
        <v>64</v>
      </c>
      <c r="B46" s="2" t="str">
        <f>VLOOKUP(A46,Regions!A:B,2,0)</f>
        <v>North America</v>
      </c>
      <c r="C46" s="2">
        <v>2015</v>
      </c>
      <c r="D46" s="2">
        <f>IF(A47=A46,ABS(C47-C46),"")</f>
        <v>5</v>
      </c>
      <c r="E46" s="2">
        <f>IFERROR(IF(A47=A46,((H46-H47)/(C46-C47)), ""), "null")</f>
        <v>0</v>
      </c>
      <c r="F46" s="2">
        <v>63.694999690000003</v>
      </c>
      <c r="G46" s="2">
        <v>100</v>
      </c>
      <c r="H46" s="2">
        <v>99.903140019999995</v>
      </c>
      <c r="I46" s="2">
        <f>IFERROR(ROUND(H46,0),"null")</f>
        <v>100</v>
      </c>
      <c r="J46" s="2" t="str">
        <f>IF(AND(A47=A46,I46=100,I47=100),"full access", " ")</f>
        <v>full access</v>
      </c>
      <c r="K46" s="2">
        <v>0</v>
      </c>
      <c r="L46" s="2">
        <v>9.6859982940000006E-2</v>
      </c>
      <c r="M46" s="2">
        <v>0</v>
      </c>
      <c r="N46" s="2" t="s">
        <v>45</v>
      </c>
      <c r="O46" s="2" t="str">
        <f>IFERROR(ROUND(N46,0),"null")</f>
        <v>null</v>
      </c>
      <c r="P46" s="2" t="str">
        <f>IF(AND(A46=A47,O46=100,O47=100),"full access"," ")</f>
        <v xml:space="preserve"> </v>
      </c>
      <c r="Q46" s="2" t="str">
        <f>IFERROR(IF(A47=A46,((N46-N47)/(C46-C47)),""),"null")</f>
        <v>null</v>
      </c>
      <c r="R46" s="2" t="s">
        <v>45</v>
      </c>
      <c r="S46" s="2" t="s">
        <v>45</v>
      </c>
      <c r="T46" s="2" t="s">
        <v>45</v>
      </c>
      <c r="U46" s="2">
        <v>99.903140019999995</v>
      </c>
      <c r="V46" s="2">
        <f>IFERROR(ROUND(U46,0),"null")</f>
        <v>100</v>
      </c>
      <c r="W46" s="2" t="str">
        <f>IF(AND(A46=A47,V46=100,V47=100),"full access","")</f>
        <v>full access</v>
      </c>
      <c r="X46" s="2">
        <f>IFERROR(IF(A47=A46,((U46-U47)/(C46-C47)),""),"null")</f>
        <v>0</v>
      </c>
      <c r="Y46" s="2">
        <v>0</v>
      </c>
      <c r="Z46" s="2">
        <v>9.6859982940000006E-2</v>
      </c>
      <c r="AA46" s="2">
        <v>0</v>
      </c>
      <c r="AB46" s="2" t="str">
        <f>IFERROR(IF(A47=A46, Q46-X46, ""), "null")</f>
        <v>null</v>
      </c>
    </row>
    <row r="47" spans="1:28">
      <c r="A47" s="2" t="s">
        <v>64</v>
      </c>
      <c r="B47" s="2" t="str">
        <f>VLOOKUP(A47,Regions!A:B,2,0)</f>
        <v>North America</v>
      </c>
      <c r="C47" s="2">
        <v>2020</v>
      </c>
      <c r="D47" s="2" t="str">
        <f>IF(A48=A47,ABS(C48-C47),"")</f>
        <v/>
      </c>
      <c r="E47" s="2" t="str">
        <f>IFERROR(IF(A48=A47,((H47-H48)/(C47-C48)), ""), "null")</f>
        <v/>
      </c>
      <c r="F47" s="2">
        <v>62.272998809999997</v>
      </c>
      <c r="G47" s="2">
        <v>100</v>
      </c>
      <c r="H47" s="2">
        <v>99.903140019999995</v>
      </c>
      <c r="I47" s="2">
        <f>IFERROR(ROUND(H47,0),"null")</f>
        <v>100</v>
      </c>
      <c r="J47" s="2" t="str">
        <f>IF(AND(A48=A47,I47=100,I48=100),"full access", " ")</f>
        <v xml:space="preserve"> </v>
      </c>
      <c r="K47" s="2">
        <v>0</v>
      </c>
      <c r="L47" s="2">
        <v>9.6859982940000006E-2</v>
      </c>
      <c r="M47" s="2">
        <v>0</v>
      </c>
      <c r="N47" s="2" t="s">
        <v>45</v>
      </c>
      <c r="O47" s="2" t="str">
        <f>IFERROR(ROUND(N47,0),"null")</f>
        <v>null</v>
      </c>
      <c r="P47" s="2" t="str">
        <f>IF(AND(A47=A48,O47=100,O48=100),"full access"," ")</f>
        <v xml:space="preserve"> </v>
      </c>
      <c r="Q47" s="2" t="str">
        <f>IFERROR(IF(A48=A47,((N47-N48)/(C47-C48)),""),"null")</f>
        <v/>
      </c>
      <c r="R47" s="2" t="s">
        <v>45</v>
      </c>
      <c r="S47" s="2" t="s">
        <v>45</v>
      </c>
      <c r="T47" s="2" t="s">
        <v>45</v>
      </c>
      <c r="U47" s="2">
        <v>99.903140019999995</v>
      </c>
      <c r="V47" s="2">
        <f>IFERROR(ROUND(U47,0),"null")</f>
        <v>100</v>
      </c>
      <c r="W47" s="2" t="str">
        <f>IF(AND(A47=A48,V47=100,V48=100),"full access","")</f>
        <v/>
      </c>
      <c r="X47" s="2" t="str">
        <f>IFERROR(IF(A48=A47,((U47-U48)/(C47-C48)),""),"null")</f>
        <v/>
      </c>
      <c r="Y47" s="2">
        <v>0</v>
      </c>
      <c r="Z47" s="2">
        <v>9.6859982940000006E-2</v>
      </c>
      <c r="AA47" s="2">
        <v>0</v>
      </c>
      <c r="AB47" s="2" t="str">
        <f>IFERROR(IF(A48=A47, Q47-X47, ""), "null")</f>
        <v/>
      </c>
    </row>
    <row r="48" spans="1:28">
      <c r="A48" s="2" t="s">
        <v>65</v>
      </c>
      <c r="B48" s="2" t="str">
        <f>VLOOKUP(A48,Regions!A:B,2,0)</f>
        <v>South Asia</v>
      </c>
      <c r="C48" s="2">
        <v>2015</v>
      </c>
      <c r="D48" s="2">
        <f>IF(A49=A48,ABS(C49-C48),"")</f>
        <v>5</v>
      </c>
      <c r="E48" s="2">
        <f>IFERROR(IF(A49=A48,((H48-H49)/(C48-C49)), ""), "null")</f>
        <v>0.21836000799999908</v>
      </c>
      <c r="F48" s="2">
        <v>727.88500980000003</v>
      </c>
      <c r="G48" s="2">
        <v>38.678001399999999</v>
      </c>
      <c r="H48" s="2">
        <v>96.221422590000003</v>
      </c>
      <c r="I48" s="2">
        <f>IFERROR(ROUND(H48,0),"null")</f>
        <v>96</v>
      </c>
      <c r="J48" s="2" t="str">
        <f>IF(AND(A49=A48,I48=100,I49=100),"full access", " ")</f>
        <v xml:space="preserve"> </v>
      </c>
      <c r="K48" s="2">
        <v>2.496596292</v>
      </c>
      <c r="L48" s="2">
        <v>0.29618737509999998</v>
      </c>
      <c r="M48" s="2">
        <v>0.98579373770000001</v>
      </c>
      <c r="N48" s="2">
        <v>95.164362949999997</v>
      </c>
      <c r="O48" s="2">
        <f>IFERROR(ROUND(N48,0),"null")</f>
        <v>95</v>
      </c>
      <c r="P48" s="2" t="str">
        <f>IF(AND(A48=A49,O48=100,O49=100),"full access"," ")</f>
        <v xml:space="preserve"> </v>
      </c>
      <c r="Q48" s="2">
        <f>IFERROR(IF(A49=A48,((N48-N49)/(C48-C49)),""),"null")</f>
        <v>0.3133661399999994</v>
      </c>
      <c r="R48" s="2">
        <v>3.215858941</v>
      </c>
      <c r="S48" s="2">
        <v>0.1935987005</v>
      </c>
      <c r="T48" s="2">
        <v>1.4261794109999999</v>
      </c>
      <c r="U48" s="2">
        <v>97.897336780000003</v>
      </c>
      <c r="V48" s="2">
        <f>IFERROR(ROUND(U48,0),"null")</f>
        <v>98</v>
      </c>
      <c r="W48" s="2" t="str">
        <f>IF(AND(A48=A49,V48=100,V49=100),"full access","")</f>
        <v/>
      </c>
      <c r="X48" s="2">
        <f>IFERROR(IF(A49=A48,((U48-U49)/(C48-C49)),""),"null")</f>
        <v>4.1858342000000451E-2</v>
      </c>
      <c r="Y48" s="2">
        <v>1.3562420319999999</v>
      </c>
      <c r="Z48" s="2">
        <v>0.45883648849999997</v>
      </c>
      <c r="AA48" s="2">
        <v>0.28758470349999998</v>
      </c>
      <c r="AB48" s="2">
        <f>IFERROR(IF(A49=A48, Q48-X48, ""), "null")</f>
        <v>0.27150779799999897</v>
      </c>
    </row>
    <row r="49" spans="1:28">
      <c r="A49" s="2" t="s">
        <v>65</v>
      </c>
      <c r="B49" s="2" t="str">
        <f>VLOOKUP(A49,Regions!A:B,2,0)</f>
        <v>South Asia</v>
      </c>
      <c r="C49" s="2">
        <v>2020</v>
      </c>
      <c r="D49" s="2" t="str">
        <f>IF(A50=A49,ABS(C50-C49),"")</f>
        <v/>
      </c>
      <c r="E49" s="2" t="str">
        <f>IFERROR(IF(A50=A49,((H49-H50)/(C49-C50)), ""), "null")</f>
        <v/>
      </c>
      <c r="F49" s="2">
        <v>771.61199950000002</v>
      </c>
      <c r="G49" s="2">
        <v>42.31599808</v>
      </c>
      <c r="H49" s="2">
        <v>97.313222629999999</v>
      </c>
      <c r="I49" s="2">
        <f>IFERROR(ROUND(H49,0),"null")</f>
        <v>97</v>
      </c>
      <c r="J49" s="2" t="str">
        <f>IF(AND(A50=A49,I49=100,I50=100),"full access", " ")</f>
        <v xml:space="preserve"> </v>
      </c>
      <c r="K49" s="2">
        <v>2.4607126070000001</v>
      </c>
      <c r="L49" s="2">
        <v>0.17642421829999999</v>
      </c>
      <c r="M49" s="2">
        <v>4.9640541420000003E-2</v>
      </c>
      <c r="N49" s="2">
        <v>96.731193649999994</v>
      </c>
      <c r="O49" s="2">
        <f>IFERROR(ROUND(N49,0),"null")</f>
        <v>97</v>
      </c>
      <c r="P49" s="2" t="str">
        <f>IF(AND(A49=A50,O49=100,O50=100),"full access"," ")</f>
        <v xml:space="preserve"> </v>
      </c>
      <c r="Q49" s="2" t="str">
        <f>IFERROR(IF(A50=A49,((N49-N50)/(C49-C50)),""),"null")</f>
        <v/>
      </c>
      <c r="R49" s="2">
        <v>3.2688063509999998</v>
      </c>
      <c r="S49" s="2">
        <v>0</v>
      </c>
      <c r="T49" s="2">
        <v>0</v>
      </c>
      <c r="U49" s="2">
        <v>98.106628490000006</v>
      </c>
      <c r="V49" s="2">
        <f>IFERROR(ROUND(U49,0),"null")</f>
        <v>98</v>
      </c>
      <c r="W49" s="2" t="str">
        <f>IF(AND(A49=A50,V49=100,V50=100),"full access","")</f>
        <v/>
      </c>
      <c r="X49" s="2" t="str">
        <f>IFERROR(IF(A50=A49,((U49-U50)/(C49-C50)),""),"null")</f>
        <v/>
      </c>
      <c r="Y49" s="2">
        <v>1.3591415</v>
      </c>
      <c r="Z49" s="2">
        <v>0.41692084750000002</v>
      </c>
      <c r="AA49" s="2">
        <v>0.1173091586</v>
      </c>
      <c r="AB49" s="2" t="str">
        <f>IFERROR(IF(A50=A49, Q49-X49, ""), "null")</f>
        <v/>
      </c>
    </row>
    <row r="50" spans="1:28">
      <c r="A50" s="2" t="s">
        <v>66</v>
      </c>
      <c r="B50" s="2" t="str">
        <f>VLOOKUP(A50,Regions!A:B,2,0)</f>
        <v>Latin America &amp; Caribbean</v>
      </c>
      <c r="C50" s="2">
        <v>2015</v>
      </c>
      <c r="D50" s="2">
        <f>IF(A51=A50,ABS(C51-C50),"")</f>
        <v>5</v>
      </c>
      <c r="E50" s="2">
        <f>IFERROR(IF(A51=A50,((H50-H51)/(C50-C51)), ""), "null")</f>
        <v>0.58558612399999954</v>
      </c>
      <c r="F50" s="2">
        <v>10869.73242</v>
      </c>
      <c r="G50" s="2">
        <v>68.392997739999998</v>
      </c>
      <c r="H50" s="2">
        <v>90.462141009999996</v>
      </c>
      <c r="I50" s="2">
        <f>IFERROR(ROUND(H50,0),"null")</f>
        <v>90</v>
      </c>
      <c r="J50" s="2" t="str">
        <f>IF(AND(A51=A50,I50=100,I51=100),"full access", " ")</f>
        <v xml:space="preserve"> </v>
      </c>
      <c r="K50" s="2">
        <v>0.17289839809999999</v>
      </c>
      <c r="L50" s="2">
        <v>2.832457169</v>
      </c>
      <c r="M50" s="2">
        <v>6.5325034249999998</v>
      </c>
      <c r="N50" s="2">
        <v>73.740180199999998</v>
      </c>
      <c r="O50" s="2">
        <f>IFERROR(ROUND(N50,0),"null")</f>
        <v>74</v>
      </c>
      <c r="P50" s="2" t="str">
        <f>IF(AND(A50=A51,O50=100,O51=100),"full access"," ")</f>
        <v xml:space="preserve"> </v>
      </c>
      <c r="Q50" s="2">
        <f>IFERROR(IF(A51=A50,((N50-N51)/(C50-C51)),""),"null")</f>
        <v>1.2392925259999998</v>
      </c>
      <c r="R50" s="2">
        <v>0.33996878380000001</v>
      </c>
      <c r="S50" s="2">
        <v>5.9118005360000003</v>
      </c>
      <c r="T50" s="2">
        <v>20.008050480000001</v>
      </c>
      <c r="U50" s="2">
        <v>98.189997079999998</v>
      </c>
      <c r="V50" s="2">
        <f>IFERROR(ROUND(U50,0),"null")</f>
        <v>98</v>
      </c>
      <c r="W50" s="2" t="str">
        <f>IF(AND(A50=A51,V50=100,V51=100),"full access","")</f>
        <v/>
      </c>
      <c r="X50" s="2">
        <f>IFERROR(IF(A51=A50,((U50-U51)/(C50-C51)),""),"null")</f>
        <v>0.18642424800000015</v>
      </c>
      <c r="Y50" s="2">
        <v>9.5688834099999995E-2</v>
      </c>
      <c r="Z50" s="2">
        <v>1.4093724700000001</v>
      </c>
      <c r="AA50" s="2">
        <v>0.304941615</v>
      </c>
      <c r="AB50" s="2">
        <f>IFERROR(IF(A51=A50, Q50-X50, ""), "null")</f>
        <v>1.0528682779999996</v>
      </c>
    </row>
    <row r="51" spans="1:28">
      <c r="A51" s="2" t="s">
        <v>66</v>
      </c>
      <c r="B51" s="2" t="str">
        <f>VLOOKUP(A51,Regions!A:B,2,0)</f>
        <v>Latin America &amp; Caribbean</v>
      </c>
      <c r="C51" s="2">
        <v>2020</v>
      </c>
      <c r="D51" s="2" t="str">
        <f>IF(A52=A51,ABS(C52-C51),"")</f>
        <v/>
      </c>
      <c r="E51" s="2" t="str">
        <f>IFERROR(IF(A52=A51,((H51-H52)/(C51-C52)), ""), "null")</f>
        <v/>
      </c>
      <c r="F51" s="2">
        <v>11673.0293</v>
      </c>
      <c r="G51" s="2">
        <v>70.123001099999996</v>
      </c>
      <c r="H51" s="2">
        <v>93.390071629999994</v>
      </c>
      <c r="I51" s="2">
        <f>IFERROR(ROUND(H51,0),"null")</f>
        <v>93</v>
      </c>
      <c r="J51" s="2" t="str">
        <f>IF(AND(A52=A51,I51=100,I52=100),"full access", " ")</f>
        <v xml:space="preserve"> </v>
      </c>
      <c r="K51" s="2">
        <v>0.13659052960000001</v>
      </c>
      <c r="L51" s="2">
        <v>1.575010843</v>
      </c>
      <c r="M51" s="2">
        <v>4.8983269969999998</v>
      </c>
      <c r="N51" s="2">
        <v>79.936642829999997</v>
      </c>
      <c r="O51" s="2">
        <f>IFERROR(ROUND(N51,0),"null")</f>
        <v>80</v>
      </c>
      <c r="P51" s="2" t="str">
        <f>IF(AND(A51=A52,O51=100,O52=100),"full access"," ")</f>
        <v xml:space="preserve"> </v>
      </c>
      <c r="Q51" s="2" t="str">
        <f>IFERROR(IF(A52=A51,((N51-N52)/(C51-C52)),""),"null")</f>
        <v/>
      </c>
      <c r="R51" s="2">
        <v>0.24473640820000001</v>
      </c>
      <c r="S51" s="2">
        <v>3.9541336930000002</v>
      </c>
      <c r="T51" s="2">
        <v>15.864487069999999</v>
      </c>
      <c r="U51" s="2">
        <v>99.122118319999998</v>
      </c>
      <c r="V51" s="2">
        <f>IFERROR(ROUND(U51,0),"null")</f>
        <v>99</v>
      </c>
      <c r="W51" s="2" t="str">
        <f>IF(AND(A51=A52,V51=100,V52=100),"full access","")</f>
        <v/>
      </c>
      <c r="X51" s="2" t="str">
        <f>IFERROR(IF(A52=A51,((U51-U52)/(C51-C52)),""),"null")</f>
        <v/>
      </c>
      <c r="Y51" s="2">
        <v>9.0513289469999994E-2</v>
      </c>
      <c r="Z51" s="2">
        <v>0.56134538079999996</v>
      </c>
      <c r="AA51" s="2">
        <v>0.22602301120000001</v>
      </c>
      <c r="AB51" s="2" t="str">
        <f>IFERROR(IF(A52=A51, Q51-X51, ""), "null")</f>
        <v/>
      </c>
    </row>
    <row r="52" spans="1:28">
      <c r="A52" s="2" t="s">
        <v>67</v>
      </c>
      <c r="B52" s="2" t="str">
        <f>VLOOKUP(A52,Regions!A:B,2,0)</f>
        <v>Europe &amp; Central Asia</v>
      </c>
      <c r="C52" s="2">
        <v>2015</v>
      </c>
      <c r="D52" s="2">
        <f>IF(A53=A52,ABS(C53-C52),"")</f>
        <v>5</v>
      </c>
      <c r="E52" s="2">
        <f>IFERROR(IF(A53=A52,((H52-H53)/(C52-C53)), ""), "null")</f>
        <v>-9.1893119999980396E-3</v>
      </c>
      <c r="F52" s="2">
        <v>3429.3620609999998</v>
      </c>
      <c r="G52" s="2">
        <v>47.172996519999998</v>
      </c>
      <c r="H52" s="2">
        <v>96.159844179999993</v>
      </c>
      <c r="I52" s="2">
        <f>IFERROR(ROUND(H52,0),"null")</f>
        <v>96</v>
      </c>
      <c r="J52" s="2" t="str">
        <f>IF(AND(A53=A52,I52=100,I53=100),"full access", " ")</f>
        <v xml:space="preserve"> </v>
      </c>
      <c r="K52" s="2">
        <v>3.780069975</v>
      </c>
      <c r="L52" s="2">
        <v>6.0085848570000003E-2</v>
      </c>
      <c r="M52" s="2">
        <v>0</v>
      </c>
      <c r="N52" s="2">
        <v>97.333333330000002</v>
      </c>
      <c r="O52" s="2">
        <f>IFERROR(ROUND(N52,0),"null")</f>
        <v>97</v>
      </c>
      <c r="P52" s="2" t="str">
        <f>IF(AND(A52=A53,O52=100,O53=100),"full access"," ")</f>
        <v xml:space="preserve"> </v>
      </c>
      <c r="Q52" s="2">
        <f>IFERROR(IF(A53=A52,((N52-N53)/(C52-C53)),""),"null")</f>
        <v>0</v>
      </c>
      <c r="R52" s="2">
        <v>2.6666666669999999</v>
      </c>
      <c r="S52" s="2">
        <v>0</v>
      </c>
      <c r="T52" s="2">
        <v>0</v>
      </c>
      <c r="U52" s="2">
        <v>94.845704400000002</v>
      </c>
      <c r="V52" s="2">
        <f>IFERROR(ROUND(U52,0),"null")</f>
        <v>95</v>
      </c>
      <c r="W52" s="2" t="str">
        <f>IF(AND(A52=A53,V52=100,V53=100),"full access","")</f>
        <v/>
      </c>
      <c r="X52" s="2">
        <f>IFERROR(IF(A53=A52,((U52-U53)/(C52-C53)),""),"null")</f>
        <v>0</v>
      </c>
      <c r="Y52" s="2">
        <v>5.0269222060000001</v>
      </c>
      <c r="Z52" s="2">
        <v>0.12737339280000001</v>
      </c>
      <c r="AA52" s="2">
        <v>0</v>
      </c>
      <c r="AB52" s="2">
        <f>IFERROR(IF(A53=A52, Q52-X52, ""), "null")</f>
        <v>0</v>
      </c>
    </row>
    <row r="53" spans="1:28">
      <c r="A53" s="2" t="s">
        <v>67</v>
      </c>
      <c r="B53" s="2" t="str">
        <f>VLOOKUP(A53,Regions!A:B,2,0)</f>
        <v>Europe &amp; Central Asia</v>
      </c>
      <c r="C53" s="2">
        <v>2020</v>
      </c>
      <c r="D53" s="2" t="str">
        <f>IF(A54=A53,ABS(C54-C53),"")</f>
        <v/>
      </c>
      <c r="E53" s="2" t="str">
        <f>IFERROR(IF(A54=A53,((H53-H54)/(C53-C54)), ""), "null")</f>
        <v/>
      </c>
      <c r="F53" s="2">
        <v>3280.8149410000001</v>
      </c>
      <c r="G53" s="2">
        <v>49.020000459999999</v>
      </c>
      <c r="H53" s="2">
        <v>96.113897620000003</v>
      </c>
      <c r="I53" s="2">
        <f>IFERROR(ROUND(H53,0),"null")</f>
        <v>96</v>
      </c>
      <c r="J53" s="2" t="str">
        <f>IF(AND(A54=A53,I53=100,I54=100),"full access", " ")</f>
        <v xml:space="preserve"> </v>
      </c>
      <c r="K53" s="2">
        <v>3.8236639380000002</v>
      </c>
      <c r="L53" s="2">
        <v>6.2438437520000001E-2</v>
      </c>
      <c r="M53" s="2">
        <v>0</v>
      </c>
      <c r="N53" s="2">
        <v>97.333333330000002</v>
      </c>
      <c r="O53" s="2">
        <f>IFERROR(ROUND(N53,0),"null")</f>
        <v>97</v>
      </c>
      <c r="P53" s="2" t="str">
        <f>IF(AND(A53=A54,O53=100,O54=100),"full access"," ")</f>
        <v xml:space="preserve"> </v>
      </c>
      <c r="Q53" s="2" t="str">
        <f>IFERROR(IF(A54=A53,((N53-N54)/(C53-C54)),""),"null")</f>
        <v/>
      </c>
      <c r="R53" s="2">
        <v>2.6666666669999999</v>
      </c>
      <c r="S53" s="2">
        <v>0</v>
      </c>
      <c r="T53" s="2">
        <v>0</v>
      </c>
      <c r="U53" s="2">
        <v>94.845704400000002</v>
      </c>
      <c r="V53" s="2">
        <f>IFERROR(ROUND(U53,0),"null")</f>
        <v>95</v>
      </c>
      <c r="W53" s="2" t="str">
        <f>IF(AND(A53=A54,V53=100,V54=100),"full access","")</f>
        <v/>
      </c>
      <c r="X53" s="2" t="str">
        <f>IFERROR(IF(A54=A53,((U53-U54)/(C53-C54)),""),"null")</f>
        <v/>
      </c>
      <c r="Y53" s="2">
        <v>5.0269222060000001</v>
      </c>
      <c r="Z53" s="2">
        <v>0.12737339280000001</v>
      </c>
      <c r="AA53" s="2">
        <v>0</v>
      </c>
      <c r="AB53" s="2" t="str">
        <f>IFERROR(IF(A54=A53, Q53-X53, ""), "null")</f>
        <v/>
      </c>
    </row>
    <row r="54" spans="1:28">
      <c r="A54" s="2" t="s">
        <v>68</v>
      </c>
      <c r="B54" s="2" t="str">
        <f>VLOOKUP(A54,Regions!A:B,2,0)</f>
        <v>Sub-Saharan Africa</v>
      </c>
      <c r="C54" s="2">
        <v>2015</v>
      </c>
      <c r="D54" s="2">
        <f>IF(A55=A54,ABS(C55-C54),"")</f>
        <v>5</v>
      </c>
      <c r="E54" s="2">
        <f>IFERROR(IF(A55=A54,((H54-H55)/(C54-C55)), ""), "null")</f>
        <v>0.75345470800000103</v>
      </c>
      <c r="F54" s="2">
        <v>2120.7160640000002</v>
      </c>
      <c r="G54" s="2">
        <v>67.15499878</v>
      </c>
      <c r="H54" s="2">
        <v>88.446289530000001</v>
      </c>
      <c r="I54" s="2">
        <f>IFERROR(ROUND(H54,0),"null")</f>
        <v>88</v>
      </c>
      <c r="J54" s="2" t="str">
        <f>IF(AND(A55=A54,I54=100,I55=100),"full access", " ")</f>
        <v xml:space="preserve"> </v>
      </c>
      <c r="K54" s="2">
        <v>8.4106141599999997</v>
      </c>
      <c r="L54" s="2">
        <v>1.578349601</v>
      </c>
      <c r="M54" s="2">
        <v>1.5647467079999999</v>
      </c>
      <c r="N54" s="2">
        <v>71.892533830000005</v>
      </c>
      <c r="O54" s="2">
        <f>IFERROR(ROUND(N54,0),"null")</f>
        <v>72</v>
      </c>
      <c r="P54" s="2" t="str">
        <f>IF(AND(A54=A55,O54=100,O55=100),"full access"," ")</f>
        <v xml:space="preserve"> </v>
      </c>
      <c r="Q54" s="2">
        <f>IFERROR(IF(A55=A54,((N54-N55)/(C54-C55)),""),"null")</f>
        <v>1.4302380059999991</v>
      </c>
      <c r="R54" s="2">
        <v>21.789327549999999</v>
      </c>
      <c r="S54" s="2">
        <v>1.854197906</v>
      </c>
      <c r="T54" s="2">
        <v>4.4639407090000001</v>
      </c>
      <c r="U54" s="2">
        <v>96.542602579999993</v>
      </c>
      <c r="V54" s="2">
        <f>IFERROR(ROUND(U54,0),"null")</f>
        <v>97</v>
      </c>
      <c r="W54" s="2" t="str">
        <f>IF(AND(A54=A55,V54=100,V55=100),"full access","")</f>
        <v/>
      </c>
      <c r="X54" s="2">
        <f>IFERROR(IF(A55=A54,((U54-U55)/(C54-C55)),""),"null")</f>
        <v>0.21647560000000113</v>
      </c>
      <c r="Y54" s="2">
        <v>1.867186166</v>
      </c>
      <c r="Z54" s="2">
        <v>1.443438497</v>
      </c>
      <c r="AA54" s="2">
        <v>0.1467727616</v>
      </c>
      <c r="AB54" s="2">
        <f>IFERROR(IF(A55=A54, Q54-X54, ""), "null")</f>
        <v>1.2137624059999979</v>
      </c>
    </row>
    <row r="55" spans="1:28">
      <c r="A55" s="2" t="s">
        <v>68</v>
      </c>
      <c r="B55" s="2" t="str">
        <f>VLOOKUP(A55,Regions!A:B,2,0)</f>
        <v>Sub-Saharan Africa</v>
      </c>
      <c r="C55" s="2">
        <v>2020</v>
      </c>
      <c r="D55" s="2" t="str">
        <f>IF(A56=A55,ABS(C56-C55),"")</f>
        <v/>
      </c>
      <c r="E55" s="2" t="str">
        <f>IFERROR(IF(A56=A55,((H55-H56)/(C55-C56)), ""), "null")</f>
        <v/>
      </c>
      <c r="F55" s="2">
        <v>2351.625</v>
      </c>
      <c r="G55" s="2">
        <v>70.876998900000004</v>
      </c>
      <c r="H55" s="2">
        <v>92.213563070000006</v>
      </c>
      <c r="I55" s="2">
        <f>IFERROR(ROUND(H55,0),"null")</f>
        <v>92</v>
      </c>
      <c r="J55" s="2" t="str">
        <f>IF(AND(A56=A55,I55=100,I56=100),"full access", " ")</f>
        <v xml:space="preserve"> </v>
      </c>
      <c r="K55" s="2">
        <v>4.7230389700000002</v>
      </c>
      <c r="L55" s="2">
        <v>1.7325264760000001</v>
      </c>
      <c r="M55" s="2">
        <v>1.330871481</v>
      </c>
      <c r="N55" s="2">
        <v>79.04372386</v>
      </c>
      <c r="O55" s="2">
        <f>IFERROR(ROUND(N55,0),"null")</f>
        <v>79</v>
      </c>
      <c r="P55" s="2" t="str">
        <f>IF(AND(A55=A56,O55=100,O56=100),"full access"," ")</f>
        <v xml:space="preserve"> </v>
      </c>
      <c r="Q55" s="2" t="str">
        <f>IFERROR(IF(A56=A55,((N55-N56)/(C55-C56)),""),"null")</f>
        <v/>
      </c>
      <c r="R55" s="2">
        <v>15.154947180000001</v>
      </c>
      <c r="S55" s="2">
        <v>1.5961191560000001</v>
      </c>
      <c r="T55" s="2">
        <v>4.2052098100000004</v>
      </c>
      <c r="U55" s="2">
        <v>97.624980579999999</v>
      </c>
      <c r="V55" s="2">
        <f>IFERROR(ROUND(U55,0),"null")</f>
        <v>98</v>
      </c>
      <c r="W55" s="2" t="str">
        <f>IF(AND(A55=A56,V55=100,V56=100),"full access","")</f>
        <v/>
      </c>
      <c r="X55" s="2" t="str">
        <f>IFERROR(IF(A56=A55,((U55-U56)/(C55-C56)),""),"null")</f>
        <v/>
      </c>
      <c r="Y55" s="2">
        <v>0.43662003220000001</v>
      </c>
      <c r="Z55" s="2">
        <v>1.788579159</v>
      </c>
      <c r="AA55" s="2">
        <v>0.14982022810000001</v>
      </c>
      <c r="AB55" s="2" t="str">
        <f>IFERROR(IF(A56=A55, Q55-X55, ""), "null")</f>
        <v/>
      </c>
    </row>
    <row r="56" spans="1:28">
      <c r="A56" s="2" t="s">
        <v>69</v>
      </c>
      <c r="B56" s="2" t="str">
        <f>VLOOKUP(A56,Regions!A:B,2,0)</f>
        <v>Latin America &amp; Caribbean</v>
      </c>
      <c r="C56" s="2">
        <v>2015</v>
      </c>
      <c r="D56" s="2">
        <f>IF(A57=A56,ABS(C57-C56),"")</f>
        <v>5</v>
      </c>
      <c r="E56" s="2">
        <f>IFERROR(IF(A57=A56,((H56-H57)/(C56-C57)), ""), "null")</f>
        <v>0.30345708000000116</v>
      </c>
      <c r="F56" s="2">
        <v>204471.76560000001</v>
      </c>
      <c r="G56" s="2">
        <v>85.770004270000001</v>
      </c>
      <c r="H56" s="2">
        <v>97.80356759</v>
      </c>
      <c r="I56" s="2">
        <f>IFERROR(ROUND(H56,0),"null")</f>
        <v>98</v>
      </c>
      <c r="J56" s="2" t="str">
        <f>IF(AND(A57=A56,I56=100,I57=100),"full access", " ")</f>
        <v xml:space="preserve"> </v>
      </c>
      <c r="K56" s="2">
        <v>0.57950002290000002</v>
      </c>
      <c r="L56" s="2">
        <v>0.47496570910000002</v>
      </c>
      <c r="M56" s="2">
        <v>1.141966676</v>
      </c>
      <c r="N56" s="2">
        <v>88.756028180000001</v>
      </c>
      <c r="O56" s="2">
        <f>IFERROR(ROUND(N56,0),"null")</f>
        <v>89</v>
      </c>
      <c r="P56" s="2" t="str">
        <f>IF(AND(A56=A57,O56=100,O57=100),"full access"," ")</f>
        <v xml:space="preserve"> </v>
      </c>
      <c r="Q56" s="2">
        <f>IFERROR(IF(A57=A56,((N56-N57)/(C56-C57)),""),"null")</f>
        <v>1.4378462700000001</v>
      </c>
      <c r="R56" s="2">
        <v>2.8537735780000002</v>
      </c>
      <c r="S56" s="2">
        <v>0.36513423810000001</v>
      </c>
      <c r="T56" s="2">
        <v>8.0250640079999993</v>
      </c>
      <c r="U56" s="2">
        <v>99.304631020000002</v>
      </c>
      <c r="V56" s="2">
        <f>IFERROR(ROUND(U56,0),"null")</f>
        <v>99</v>
      </c>
      <c r="W56" s="2" t="str">
        <f>IF(AND(A56=A57,V56=100,V57=100),"full access","")</f>
        <v/>
      </c>
      <c r="X56" s="2">
        <f>IFERROR(IF(A57=A56,((U56-U57)/(C56-C57)),""),"null")</f>
        <v>0.10347405800000047</v>
      </c>
      <c r="Y56" s="2">
        <v>0.20217793440000001</v>
      </c>
      <c r="Z56" s="2">
        <v>0.49319104540000003</v>
      </c>
      <c r="AA56" s="2">
        <v>0</v>
      </c>
      <c r="AB56" s="2">
        <f>IFERROR(IF(A57=A56, Q56-X56, ""), "null")</f>
        <v>1.3343722119999997</v>
      </c>
    </row>
    <row r="57" spans="1:28">
      <c r="A57" s="2" t="s">
        <v>69</v>
      </c>
      <c r="B57" s="2" t="str">
        <f>VLOOKUP(A57,Regions!A:B,2,0)</f>
        <v>Latin America &amp; Caribbean</v>
      </c>
      <c r="C57" s="2">
        <v>2020</v>
      </c>
      <c r="D57" s="2" t="str">
        <f>IF(A58=A57,ABS(C58-C57),"")</f>
        <v/>
      </c>
      <c r="E57" s="2" t="str">
        <f>IFERROR(IF(A58=A57,((H57-H58)/(C57-C58)), ""), "null")</f>
        <v/>
      </c>
      <c r="F57" s="2">
        <v>212559.4063</v>
      </c>
      <c r="G57" s="2">
        <v>87.072998049999995</v>
      </c>
      <c r="H57" s="2">
        <v>99.320852990000006</v>
      </c>
      <c r="I57" s="2">
        <f>IFERROR(ROUND(H57,0),"null")</f>
        <v>99</v>
      </c>
      <c r="J57" s="2" t="str">
        <f>IF(AND(A58=A57,I57=100,I58=100),"full access", " ")</f>
        <v xml:space="preserve"> </v>
      </c>
      <c r="K57" s="2">
        <v>0.12654900390000001</v>
      </c>
      <c r="L57" s="2">
        <v>0.55259800989999996</v>
      </c>
      <c r="M57" s="2" t="s">
        <v>45</v>
      </c>
      <c r="N57" s="2">
        <v>95.945259530000001</v>
      </c>
      <c r="O57" s="2">
        <f>IFERROR(ROUND(N57,0),"null")</f>
        <v>96</v>
      </c>
      <c r="P57" s="2" t="str">
        <f>IF(AND(A57=A58,O57=100,O58=100),"full access"," ")</f>
        <v xml:space="preserve"> </v>
      </c>
      <c r="Q57" s="2" t="str">
        <f>IFERROR(IF(A58=A57,((N57-N58)/(C57-C58)),""),"null")</f>
        <v/>
      </c>
      <c r="R57" s="2">
        <v>0.97895091540000001</v>
      </c>
      <c r="S57" s="2">
        <v>3.0757895510000002</v>
      </c>
      <c r="T57" s="2" t="s">
        <v>45</v>
      </c>
      <c r="U57" s="2">
        <v>99.822001310000005</v>
      </c>
      <c r="V57" s="2">
        <f>IFERROR(ROUND(U57,0),"null")</f>
        <v>100</v>
      </c>
      <c r="W57" s="2" t="str">
        <f>IF(AND(A57=A58,V57=100,V58=100),"full access","")</f>
        <v/>
      </c>
      <c r="X57" s="2" t="str">
        <f>IFERROR(IF(A58=A57,((U57-U58)/(C57-C58)),""),"null")</f>
        <v/>
      </c>
      <c r="Y57" s="2">
        <v>0</v>
      </c>
      <c r="Z57" s="2">
        <v>0.1779986949</v>
      </c>
      <c r="AA57" s="2">
        <v>0</v>
      </c>
      <c r="AB57" s="2" t="str">
        <f>IFERROR(IF(A58=A57, Q57-X57, ""), "null")</f>
        <v/>
      </c>
    </row>
    <row r="58" spans="1:28">
      <c r="A58" s="2" t="s">
        <v>70</v>
      </c>
      <c r="B58" s="2" t="str">
        <f>VLOOKUP(A58,Regions!A:B,2,0)</f>
        <v>Latin America &amp; Caribbean</v>
      </c>
      <c r="C58" s="2">
        <v>2015</v>
      </c>
      <c r="D58" s="2">
        <f>IF(A59=A58,ABS(C59-C58),"")</f>
        <v>5</v>
      </c>
      <c r="E58" s="2">
        <f>IFERROR(IF(A59=A58,((H58-H59)/(C58-C59)), ""), "null")</f>
        <v>0</v>
      </c>
      <c r="F58" s="2">
        <v>29.148000719999999</v>
      </c>
      <c r="G58" s="2">
        <v>46.583000179999999</v>
      </c>
      <c r="H58" s="2">
        <v>99.864383559999993</v>
      </c>
      <c r="I58" s="2">
        <f>IFERROR(ROUND(H58,0),"null")</f>
        <v>100</v>
      </c>
      <c r="J58" s="2" t="str">
        <f>IF(AND(A59=A58,I58=100,I59=100),"full access", " ")</f>
        <v>full access</v>
      </c>
      <c r="K58" s="2">
        <v>0</v>
      </c>
      <c r="L58" s="2">
        <v>0.13561643840000001</v>
      </c>
      <c r="M58" s="2">
        <v>0</v>
      </c>
      <c r="N58" s="2" t="s">
        <v>45</v>
      </c>
      <c r="O58" s="2" t="str">
        <f>IFERROR(ROUND(N58,0),"null")</f>
        <v>null</v>
      </c>
      <c r="P58" s="2" t="str">
        <f>IF(AND(A58=A59,O58=100,O59=100),"full access"," ")</f>
        <v xml:space="preserve"> </v>
      </c>
      <c r="Q58" s="2" t="str">
        <f>IFERROR(IF(A59=A58,((N58-N59)/(C58-C59)),""),"null")</f>
        <v>null</v>
      </c>
      <c r="R58" s="2" t="s">
        <v>45</v>
      </c>
      <c r="S58" s="2" t="s">
        <v>45</v>
      </c>
      <c r="T58" s="2" t="s">
        <v>45</v>
      </c>
      <c r="U58" s="2" t="s">
        <v>45</v>
      </c>
      <c r="V58" s="2" t="str">
        <f>IFERROR(ROUND(U58,0),"null")</f>
        <v>null</v>
      </c>
      <c r="W58" s="2" t="str">
        <f>IF(AND(A58=A59,V58=100,V59=100),"full access","")</f>
        <v/>
      </c>
      <c r="X58" s="2" t="str">
        <f>IFERROR(IF(A59=A58,((U58-U59)/(C58-C59)),""),"null")</f>
        <v>null</v>
      </c>
      <c r="Y58" s="2" t="s">
        <v>45</v>
      </c>
      <c r="Z58" s="2" t="s">
        <v>45</v>
      </c>
      <c r="AA58" s="2" t="s">
        <v>45</v>
      </c>
      <c r="AB58" t="str">
        <f>IFERROR(IF(A59=A58, Q58-X58, ""), "null")</f>
        <v>null</v>
      </c>
    </row>
    <row r="59" spans="1:28">
      <c r="A59" s="2" t="s">
        <v>70</v>
      </c>
      <c r="B59" s="2" t="str">
        <f>VLOOKUP(A59,Regions!A:B,2,0)</f>
        <v>Latin America &amp; Caribbean</v>
      </c>
      <c r="C59" s="2">
        <v>2020</v>
      </c>
      <c r="D59" s="2" t="str">
        <f>IF(A60=A59,ABS(C60-C59),"")</f>
        <v/>
      </c>
      <c r="E59" s="2" t="str">
        <f>IFERROR(IF(A60=A59,((H59-H60)/(C59-C60)), ""), "null")</f>
        <v/>
      </c>
      <c r="F59" s="2">
        <v>30.23699951</v>
      </c>
      <c r="G59" s="2">
        <v>48.51499939</v>
      </c>
      <c r="H59" s="2">
        <v>99.864383559999993</v>
      </c>
      <c r="I59" s="2">
        <f>IFERROR(ROUND(H59,0),"null")</f>
        <v>100</v>
      </c>
      <c r="J59" s="2" t="str">
        <f>IF(AND(A60=A59,I59=100,I60=100),"full access", " ")</f>
        <v xml:space="preserve"> </v>
      </c>
      <c r="K59" s="2">
        <v>0</v>
      </c>
      <c r="L59" s="2">
        <v>0.13561643840000001</v>
      </c>
      <c r="M59" s="2">
        <v>0</v>
      </c>
      <c r="N59" s="2" t="s">
        <v>45</v>
      </c>
      <c r="O59" s="2" t="str">
        <f>IFERROR(ROUND(N59,0),"null")</f>
        <v>null</v>
      </c>
      <c r="P59" s="2" t="str">
        <f>IF(AND(A59=A60,O59=100,O60=100),"full access"," ")</f>
        <v xml:space="preserve"> </v>
      </c>
      <c r="Q59" s="2" t="str">
        <f>IFERROR(IF(A60=A59,((N59-N60)/(C59-C60)),""),"null")</f>
        <v/>
      </c>
      <c r="R59" s="2" t="s">
        <v>45</v>
      </c>
      <c r="S59" s="2" t="s">
        <v>45</v>
      </c>
      <c r="T59" s="2" t="s">
        <v>45</v>
      </c>
      <c r="U59" s="2" t="s">
        <v>45</v>
      </c>
      <c r="V59" s="2" t="str">
        <f>IFERROR(ROUND(U59,0),"null")</f>
        <v>null</v>
      </c>
      <c r="W59" s="2" t="str">
        <f>IF(AND(A59=A60,V59=100,V60=100),"full access","")</f>
        <v/>
      </c>
      <c r="X59" s="2" t="str">
        <f>IFERROR(IF(A60=A59,((U59-U60)/(C59-C60)),""),"null")</f>
        <v/>
      </c>
      <c r="Y59" s="2" t="s">
        <v>45</v>
      </c>
      <c r="Z59" s="2" t="s">
        <v>45</v>
      </c>
      <c r="AA59" s="2" t="s">
        <v>45</v>
      </c>
      <c r="AB59" s="2" t="str">
        <f>IFERROR(IF(A60=A59, Q59-X59, ""), "null")</f>
        <v/>
      </c>
    </row>
    <row r="60" spans="1:28">
      <c r="A60" s="2" t="s">
        <v>71</v>
      </c>
      <c r="B60" s="2" t="str">
        <f>VLOOKUP(A60,Regions!A:B,2,0)</f>
        <v>East Asia &amp; Pacific</v>
      </c>
      <c r="C60" s="2">
        <v>2015</v>
      </c>
      <c r="D60" s="2">
        <f>IF(A61=A60,ABS(C61-C60),"")</f>
        <v>5</v>
      </c>
      <c r="E60" s="2">
        <f>IFERROR(IF(A61=A60,((H60-H61)/(C60-C61)), ""), "null")</f>
        <v>7.8012128000000305E-2</v>
      </c>
      <c r="F60" s="2">
        <v>414.91400149999998</v>
      </c>
      <c r="G60" s="2">
        <v>76.662994380000001</v>
      </c>
      <c r="H60" s="2">
        <v>99.509976159999994</v>
      </c>
      <c r="I60" s="2">
        <f>IFERROR(ROUND(H60,0),"null")</f>
        <v>100</v>
      </c>
      <c r="J60" s="2" t="str">
        <f>IF(AND(A61=A60,I60=100,I61=100),"full access", " ")</f>
        <v>full access</v>
      </c>
      <c r="K60" s="2">
        <v>0</v>
      </c>
      <c r="L60" s="2">
        <v>0.39667583379999999</v>
      </c>
      <c r="M60" s="2">
        <v>9.3348002949999995E-2</v>
      </c>
      <c r="N60" s="2">
        <v>99.05</v>
      </c>
      <c r="O60" s="2">
        <f>IFERROR(ROUND(N60,0),"null")</f>
        <v>99</v>
      </c>
      <c r="P60" s="2" t="str">
        <f>IF(AND(A60=A61,O60=100,O61=100),"full access"," ")</f>
        <v xml:space="preserve"> </v>
      </c>
      <c r="Q60" s="2" t="str">
        <f>IFERROR(IF(A61=A60,((N60-N61)/(C60-C61)),""),"null")</f>
        <v>null</v>
      </c>
      <c r="R60" s="2">
        <v>0</v>
      </c>
      <c r="S60" s="2">
        <v>0.55000000000000004</v>
      </c>
      <c r="T60" s="2">
        <v>0.4</v>
      </c>
      <c r="U60" s="2">
        <v>99.65</v>
      </c>
      <c r="V60" s="2">
        <f>IFERROR(ROUND(U60,0),"null")</f>
        <v>100</v>
      </c>
      <c r="W60" s="2" t="str">
        <f>IF(AND(A60=A61,V60=100,V61=100),"full access","")</f>
        <v>full access</v>
      </c>
      <c r="X60" s="2">
        <f>IFERROR(IF(A61=A60,((U60-U61)/(C60-C61)),""),"null")</f>
        <v>0</v>
      </c>
      <c r="Y60" s="2">
        <v>0</v>
      </c>
      <c r="Z60" s="2">
        <v>0.35</v>
      </c>
      <c r="AA60" s="2">
        <v>0</v>
      </c>
      <c r="AB60" s="2" t="str">
        <f>IFERROR(IF(A61=A60, Q60-X60, ""), "null")</f>
        <v>null</v>
      </c>
    </row>
    <row r="61" spans="1:28">
      <c r="A61" s="2" t="s">
        <v>71</v>
      </c>
      <c r="B61" s="2" t="str">
        <f>VLOOKUP(A61,Regions!A:B,2,0)</f>
        <v>East Asia &amp; Pacific</v>
      </c>
      <c r="C61" s="2">
        <v>2020</v>
      </c>
      <c r="D61" s="2" t="str">
        <f>IF(A62=A61,ABS(C62-C61),"")</f>
        <v/>
      </c>
      <c r="E61" s="2" t="str">
        <f>IFERROR(IF(A62=A61,((H61-H62)/(C61-C62)), ""), "null")</f>
        <v/>
      </c>
      <c r="F61" s="2">
        <v>437.48300169999999</v>
      </c>
      <c r="G61" s="2">
        <v>78.250007629999999</v>
      </c>
      <c r="H61" s="2">
        <v>99.900036799999995</v>
      </c>
      <c r="I61" s="2">
        <f>IFERROR(ROUND(H61,0),"null")</f>
        <v>100</v>
      </c>
      <c r="J61" s="2" t="str">
        <f>IF(AND(A62=A61,I61=100,I62=100),"full access", " ")</f>
        <v xml:space="preserve"> </v>
      </c>
      <c r="K61" s="2">
        <v>0</v>
      </c>
      <c r="L61" s="2">
        <v>9.9963200360000004E-2</v>
      </c>
      <c r="M61" s="2">
        <v>0</v>
      </c>
      <c r="N61" s="2" t="s">
        <v>45</v>
      </c>
      <c r="O61" s="2" t="str">
        <f>IFERROR(ROUND(N61,0),"null")</f>
        <v>null</v>
      </c>
      <c r="P61" s="2" t="str">
        <f>IF(AND(A61=A62,O61=100,O62=100),"full access"," ")</f>
        <v xml:space="preserve"> </v>
      </c>
      <c r="Q61" s="2" t="str">
        <f>IFERROR(IF(A62=A61,((N61-N62)/(C61-C62)),""),"null")</f>
        <v/>
      </c>
      <c r="R61" s="2" t="s">
        <v>45</v>
      </c>
      <c r="S61" s="2" t="s">
        <v>45</v>
      </c>
      <c r="T61" s="2" t="s">
        <v>45</v>
      </c>
      <c r="U61" s="2">
        <v>99.65</v>
      </c>
      <c r="V61" s="2">
        <f>IFERROR(ROUND(U61,0),"null")</f>
        <v>100</v>
      </c>
      <c r="W61" s="2" t="str">
        <f>IF(AND(A61=A62,V61=100,V62=100),"full access","")</f>
        <v/>
      </c>
      <c r="X61" s="2" t="str">
        <f>IFERROR(IF(A62=A61,((U61-U62)/(C61-C62)),""),"null")</f>
        <v/>
      </c>
      <c r="Y61" s="2">
        <v>0</v>
      </c>
      <c r="Z61" s="2">
        <v>0.35</v>
      </c>
      <c r="AA61" s="2">
        <v>0</v>
      </c>
      <c r="AB61" s="2" t="str">
        <f>IFERROR(IF(A62=A61, Q61-X61, ""), "null")</f>
        <v/>
      </c>
    </row>
    <row r="62" spans="1:28">
      <c r="A62" s="2" t="s">
        <v>72</v>
      </c>
      <c r="B62" s="2" t="str">
        <f>VLOOKUP(A62,Regions!A:B,2,0)</f>
        <v>Europe &amp; Central Asia</v>
      </c>
      <c r="C62" s="2">
        <v>2015</v>
      </c>
      <c r="D62" s="2">
        <f>IF(A63=A62,ABS(C63-C62),"")</f>
        <v>5</v>
      </c>
      <c r="E62" s="2">
        <f>IFERROR(IF(A63=A62,((H62-H63)/(C62-C63)), ""), "null")</f>
        <v>-3.6982073999999442E-2</v>
      </c>
      <c r="F62" s="2">
        <v>7199.7387699999999</v>
      </c>
      <c r="G62" s="2">
        <v>73.989997860000003</v>
      </c>
      <c r="H62" s="2">
        <v>99.196327310000001</v>
      </c>
      <c r="I62" s="2">
        <f>IFERROR(ROUND(H62,0),"null")</f>
        <v>99</v>
      </c>
      <c r="J62" s="2" t="str">
        <f>IF(AND(A63=A62,I62=100,I63=100),"full access", " ")</f>
        <v xml:space="preserve"> </v>
      </c>
      <c r="K62" s="2">
        <v>0</v>
      </c>
      <c r="L62" s="2">
        <v>0.80367269050000001</v>
      </c>
      <c r="M62" s="2">
        <v>0</v>
      </c>
      <c r="N62" s="2">
        <v>98.016140340000007</v>
      </c>
      <c r="O62" s="2">
        <f>IFERROR(ROUND(N62,0),"null")</f>
        <v>98</v>
      </c>
      <c r="P62" s="2" t="str">
        <f>IF(AND(A62=A63,O62=100,O63=100),"full access"," ")</f>
        <v xml:space="preserve"> </v>
      </c>
      <c r="Q62" s="2">
        <f>IFERROR(IF(A63=A62,((N62-N63)/(C62-C63)),""),"null")</f>
        <v>-0.12297047400000168</v>
      </c>
      <c r="R62" s="2">
        <v>0</v>
      </c>
      <c r="S62" s="2">
        <v>1.98385966</v>
      </c>
      <c r="T62" s="2">
        <v>0</v>
      </c>
      <c r="U62" s="2">
        <v>99.611207719999996</v>
      </c>
      <c r="V62" s="2">
        <f>IFERROR(ROUND(U62,0),"null")</f>
        <v>100</v>
      </c>
      <c r="W62" s="2" t="str">
        <f>IF(AND(A62=A63,V62=100,V63=100),"full access","")</f>
        <v>full access</v>
      </c>
      <c r="X62" s="2">
        <f>IFERROR(IF(A63=A62,((U62-U63)/(C62-C63)),""),"null")</f>
        <v>-1.6507464000000027E-2</v>
      </c>
      <c r="Y62" s="2">
        <v>0</v>
      </c>
      <c r="Z62" s="2">
        <v>0.3887922761</v>
      </c>
      <c r="AA62" s="2">
        <v>0</v>
      </c>
      <c r="AB62" s="2">
        <f>IFERROR(IF(A63=A62, Q62-X62, ""), "null")</f>
        <v>-0.10646301000000165</v>
      </c>
    </row>
    <row r="63" spans="1:28">
      <c r="A63" s="2" t="s">
        <v>72</v>
      </c>
      <c r="B63" s="2" t="str">
        <f>VLOOKUP(A63,Regions!A:B,2,0)</f>
        <v>Europe &amp; Central Asia</v>
      </c>
      <c r="C63" s="2">
        <v>2020</v>
      </c>
      <c r="D63" s="2" t="str">
        <f>IF(A64=A63,ABS(C64-C63),"")</f>
        <v/>
      </c>
      <c r="E63" s="2" t="str">
        <f>IFERROR(IF(A64=A63,((H63-H64)/(C63-C64)), ""), "null")</f>
        <v/>
      </c>
      <c r="F63" s="2">
        <v>6948.4448240000002</v>
      </c>
      <c r="G63" s="2">
        <v>75.685997009999994</v>
      </c>
      <c r="H63" s="2">
        <v>99.011416940000004</v>
      </c>
      <c r="I63" s="2">
        <f>IFERROR(ROUND(H63,0),"null")</f>
        <v>99</v>
      </c>
      <c r="J63" s="2" t="str">
        <f>IF(AND(A64=A63,I63=100,I64=100),"full access", " ")</f>
        <v xml:space="preserve"> </v>
      </c>
      <c r="K63" s="2">
        <v>0</v>
      </c>
      <c r="L63" s="2">
        <v>0.98858306070000002</v>
      </c>
      <c r="M63" s="2">
        <v>0</v>
      </c>
      <c r="N63" s="2">
        <v>97.401287969999998</v>
      </c>
      <c r="O63" s="2">
        <f>IFERROR(ROUND(N63,0),"null")</f>
        <v>97</v>
      </c>
      <c r="P63" s="2" t="str">
        <f>IF(AND(A63=A64,O63=100,O64=100),"full access"," ")</f>
        <v xml:space="preserve"> </v>
      </c>
      <c r="Q63" s="2" t="str">
        <f>IFERROR(IF(A64=A63,((N63-N64)/(C63-C64)),""),"null")</f>
        <v/>
      </c>
      <c r="R63" s="2">
        <v>0</v>
      </c>
      <c r="S63" s="2">
        <v>2.5987120309999998</v>
      </c>
      <c r="T63" s="2">
        <v>0</v>
      </c>
      <c r="U63" s="2">
        <v>99.528670399999996</v>
      </c>
      <c r="V63" s="2">
        <f>IFERROR(ROUND(U63,0),"null")</f>
        <v>100</v>
      </c>
      <c r="W63" s="2" t="str">
        <f>IF(AND(A63=A64,V63=100,V64=100),"full access","")</f>
        <v/>
      </c>
      <c r="X63" s="2" t="str">
        <f>IFERROR(IF(A64=A63,((U63-U64)/(C63-C64)),""),"null")</f>
        <v/>
      </c>
      <c r="Y63" s="2">
        <v>0</v>
      </c>
      <c r="Z63" s="2">
        <v>0.47132960070000002</v>
      </c>
      <c r="AA63" s="2">
        <v>0</v>
      </c>
      <c r="AB63" s="2" t="str">
        <f>IFERROR(IF(A64=A63, Q63-X63, ""), "null")</f>
        <v/>
      </c>
    </row>
    <row r="64" spans="1:28">
      <c r="A64" s="2" t="s">
        <v>73</v>
      </c>
      <c r="B64" s="2" t="str">
        <f>VLOOKUP(A64,Regions!A:B,2,0)</f>
        <v>Sub-Saharan Africa</v>
      </c>
      <c r="C64" s="2">
        <v>2015</v>
      </c>
      <c r="D64" s="2">
        <f>IF(A65=A64,ABS(C65-C64),"")</f>
        <v>5</v>
      </c>
      <c r="E64" s="2">
        <f>IFERROR(IF(A65=A64,((H64-H65)/(C64-C65)), ""), "null")</f>
        <v>-0.58445532599999983</v>
      </c>
      <c r="F64" s="2">
        <v>18110.615229999999</v>
      </c>
      <c r="G64" s="2">
        <v>27.530000690000001</v>
      </c>
      <c r="H64" s="2">
        <v>50.137131089999997</v>
      </c>
      <c r="I64" s="2">
        <f>IFERROR(ROUND(H64,0),"null")</f>
        <v>50</v>
      </c>
      <c r="J64" s="2" t="str">
        <f>IF(AND(A65=A64,I64=100,I65=100),"full access", " ")</f>
        <v xml:space="preserve"> </v>
      </c>
      <c r="K64" s="2">
        <v>25.67354095</v>
      </c>
      <c r="L64" s="2">
        <v>22.430178909999999</v>
      </c>
      <c r="M64" s="2">
        <v>1.7591490430000001</v>
      </c>
      <c r="N64" s="2">
        <v>38.855163699999999</v>
      </c>
      <c r="O64" s="2">
        <f>IFERROR(ROUND(N64,0),"null")</f>
        <v>39</v>
      </c>
      <c r="P64" s="2" t="str">
        <f>IF(AND(A64=A65,O64=100,O65=100),"full access"," ")</f>
        <v xml:space="preserve"> </v>
      </c>
      <c r="Q64" s="2">
        <f>IFERROR(IF(A65=A64,((N64-N65)/(C64-C65)),""),"null")</f>
        <v>-1.2273809599999992</v>
      </c>
      <c r="R64" s="2">
        <v>30.202184890000002</v>
      </c>
      <c r="S64" s="2">
        <v>28.648694299999999</v>
      </c>
      <c r="T64" s="2">
        <v>2.2939571060000001</v>
      </c>
      <c r="U64" s="2">
        <v>79.835792159999997</v>
      </c>
      <c r="V64" s="2">
        <f>IFERROR(ROUND(U64,0),"null")</f>
        <v>80</v>
      </c>
      <c r="W64" s="2" t="str">
        <f>IF(AND(A64=A65,V64=100,V65=100),"full access","")</f>
        <v/>
      </c>
      <c r="X64" s="2">
        <f>IFERROR(IF(A65=A64,((U64-U65)/(C64-C65)),""),"null")</f>
        <v>4.9225276000001372E-2</v>
      </c>
      <c r="Y64" s="2">
        <v>13.75233459</v>
      </c>
      <c r="Z64" s="2">
        <v>6.0605534319999999</v>
      </c>
      <c r="AA64" s="2">
        <v>0.35131981779999999</v>
      </c>
      <c r="AB64" s="2">
        <f>IFERROR(IF(A65=A64, Q64-X64, ""), "null")</f>
        <v>-1.2766062360000006</v>
      </c>
    </row>
    <row r="65" spans="1:28">
      <c r="A65" s="2" t="s">
        <v>73</v>
      </c>
      <c r="B65" s="2" t="str">
        <f>VLOOKUP(A65,Regions!A:B,2,0)</f>
        <v>Sub-Saharan Africa</v>
      </c>
      <c r="C65" s="2">
        <v>2020</v>
      </c>
      <c r="D65" s="2" t="str">
        <f>IF(A66=A65,ABS(C66-C65),"")</f>
        <v/>
      </c>
      <c r="E65" s="2" t="str">
        <f>IFERROR(IF(A66=A65,((H65-H66)/(C65-C66)), ""), "null")</f>
        <v/>
      </c>
      <c r="F65" s="2">
        <v>20903.277340000001</v>
      </c>
      <c r="G65" s="2">
        <v>30.60700035</v>
      </c>
      <c r="H65" s="2">
        <v>47.214854459999998</v>
      </c>
      <c r="I65" s="2">
        <f>IFERROR(ROUND(H65,0),"null")</f>
        <v>47</v>
      </c>
      <c r="J65" s="2" t="str">
        <f>IF(AND(A66=A65,I65=100,I66=100),"full access", " ")</f>
        <v xml:space="preserve"> </v>
      </c>
      <c r="K65" s="2">
        <v>31.2730034</v>
      </c>
      <c r="L65" s="2">
        <v>21.15863263</v>
      </c>
      <c r="M65" s="2">
        <v>0.35350950240000001</v>
      </c>
      <c r="N65" s="2">
        <v>32.718258900000002</v>
      </c>
      <c r="O65" s="2">
        <f>IFERROR(ROUND(N65,0),"null")</f>
        <v>33</v>
      </c>
      <c r="P65" s="2" t="str">
        <f>IF(AND(A65=A66,O65=100,O66=100),"full access"," ")</f>
        <v xml:space="preserve"> </v>
      </c>
      <c r="Q65" s="2" t="str">
        <f>IFERROR(IF(A66=A65,((N65-N66)/(C65-C66)),""),"null")</f>
        <v/>
      </c>
      <c r="R65" s="2">
        <v>38.626902540000003</v>
      </c>
      <c r="S65" s="2">
        <v>28.3404457</v>
      </c>
      <c r="T65" s="2">
        <v>0.31439286259999999</v>
      </c>
      <c r="U65" s="2">
        <v>80.081918540000004</v>
      </c>
      <c r="V65" s="2">
        <f>IFERROR(ROUND(U65,0),"null")</f>
        <v>80</v>
      </c>
      <c r="W65" s="2" t="str">
        <f>IF(AND(A65=A66,V65=100,V66=100),"full access","")</f>
        <v/>
      </c>
      <c r="X65" s="2" t="str">
        <f>IFERROR(IF(A66=A65,((U65-U66)/(C65-C66)),""),"null")</f>
        <v/>
      </c>
      <c r="Y65" s="2">
        <v>14.60004919</v>
      </c>
      <c r="Z65" s="2">
        <v>4.8758364869999999</v>
      </c>
      <c r="AA65" s="2">
        <v>0.44219578050000002</v>
      </c>
      <c r="AB65" s="2" t="str">
        <f>IFERROR(IF(A66=A65, Q65-X65, ""), "null")</f>
        <v/>
      </c>
    </row>
    <row r="66" spans="1:28">
      <c r="A66" s="2" t="s">
        <v>74</v>
      </c>
      <c r="B66" s="2" t="str">
        <f>VLOOKUP(A66,Regions!A:B,2,0)</f>
        <v>Sub-Saharan Africa</v>
      </c>
      <c r="C66" s="2">
        <v>2015</v>
      </c>
      <c r="D66" s="2">
        <f>IF(A67=A66,ABS(C67-C66),"")</f>
        <v>5</v>
      </c>
      <c r="E66" s="2">
        <f>IFERROR(IF(A67=A66,((H66-H67)/(C66-C67)), ""), "null")</f>
        <v>0.5251306</v>
      </c>
      <c r="F66" s="2">
        <v>10160.034180000001</v>
      </c>
      <c r="G66" s="2">
        <v>12.07800007</v>
      </c>
      <c r="H66" s="2">
        <v>59.581469249999998</v>
      </c>
      <c r="I66" s="2">
        <f>IFERROR(ROUND(H66,0),"null")</f>
        <v>60</v>
      </c>
      <c r="J66" s="2" t="str">
        <f>IF(AND(A67=A66,I66=100,I67=100),"full access", " ")</f>
        <v xml:space="preserve"> </v>
      </c>
      <c r="K66" s="2">
        <v>19.538891840000002</v>
      </c>
      <c r="L66" s="2">
        <v>14.864992579999999</v>
      </c>
      <c r="M66" s="2">
        <v>6.0146463399999996</v>
      </c>
      <c r="N66" s="2">
        <v>55.55826691</v>
      </c>
      <c r="O66" s="2">
        <f>IFERROR(ROUND(N66,0),"null")</f>
        <v>56</v>
      </c>
      <c r="P66" s="2" t="str">
        <f>IF(AND(A66=A67,O66=100,O67=100),"full access"," ")</f>
        <v xml:space="preserve"> </v>
      </c>
      <c r="Q66" s="2">
        <f>IFERROR(IF(A67=A66,((N66-N67)/(C66-C67)),""),"null")</f>
        <v>0.42549967199999938</v>
      </c>
      <c r="R66" s="2">
        <v>21.166795570000001</v>
      </c>
      <c r="S66" s="2">
        <v>16.594144570000001</v>
      </c>
      <c r="T66" s="2">
        <v>6.6807929509999999</v>
      </c>
      <c r="U66" s="2">
        <v>88.868437589999999</v>
      </c>
      <c r="V66" s="2">
        <f>IFERROR(ROUND(U66,0),"null")</f>
        <v>89</v>
      </c>
      <c r="W66" s="2" t="str">
        <f>IF(AND(A66=A67,V66=100,V67=100),"full access","")</f>
        <v/>
      </c>
      <c r="X66" s="2">
        <f>IFERROR(IF(A67=A66,((U66-U67)/(C66-C67)),""),"null")</f>
        <v>0.36013465400000089</v>
      </c>
      <c r="Y66" s="2">
        <v>7.6885395340000002</v>
      </c>
      <c r="Z66" s="2">
        <v>2.2776018659999999</v>
      </c>
      <c r="AA66" s="2">
        <v>1.1654210119999999</v>
      </c>
      <c r="AB66" s="2">
        <f>IFERROR(IF(A67=A66, Q66-X66, ""), "null")</f>
        <v>6.5365017999998498E-2</v>
      </c>
    </row>
    <row r="67" spans="1:28">
      <c r="A67" s="2" t="s">
        <v>74</v>
      </c>
      <c r="B67" s="2" t="str">
        <f>VLOOKUP(A67,Regions!A:B,2,0)</f>
        <v>Sub-Saharan Africa</v>
      </c>
      <c r="C67" s="2">
        <v>2020</v>
      </c>
      <c r="D67" s="2" t="str">
        <f>IF(A68=A67,ABS(C68-C67),"")</f>
        <v/>
      </c>
      <c r="E67" s="2" t="str">
        <f>IFERROR(IF(A68=A67,((H67-H68)/(C67-C68)), ""), "null")</f>
        <v/>
      </c>
      <c r="F67" s="2">
        <v>11890.78125</v>
      </c>
      <c r="G67" s="2">
        <v>13.708000180000001</v>
      </c>
      <c r="H67" s="2">
        <v>62.207122249999998</v>
      </c>
      <c r="I67" s="2">
        <f>IFERROR(ROUND(H67,0),"null")</f>
        <v>62</v>
      </c>
      <c r="J67" s="2" t="str">
        <f>IF(AND(A68=A67,I67=100,I68=100),"full access", " ")</f>
        <v xml:space="preserve"> </v>
      </c>
      <c r="K67" s="2">
        <v>19.439693139999999</v>
      </c>
      <c r="L67" s="2">
        <v>14.758259689999999</v>
      </c>
      <c r="M67" s="2">
        <v>3.5949249129999998</v>
      </c>
      <c r="N67" s="2">
        <v>57.685765269999997</v>
      </c>
      <c r="O67" s="2">
        <f>IFERROR(ROUND(N67,0),"null")</f>
        <v>58</v>
      </c>
      <c r="P67" s="2" t="str">
        <f>IF(AND(A67=A68,O67=100,O68=100),"full access"," ")</f>
        <v xml:space="preserve"> </v>
      </c>
      <c r="Q67" s="2" t="str">
        <f>IFERROR(IF(A68=A67,((N67-N68)/(C67-C68)),""),"null")</f>
        <v/>
      </c>
      <c r="R67" s="2">
        <v>21.251482129999999</v>
      </c>
      <c r="S67" s="2">
        <v>16.896752379999999</v>
      </c>
      <c r="T67" s="2">
        <v>4.1660002189999998</v>
      </c>
      <c r="U67" s="2">
        <v>90.669110860000004</v>
      </c>
      <c r="V67" s="2">
        <f>IFERROR(ROUND(U67,0),"null")</f>
        <v>91</v>
      </c>
      <c r="W67" s="2" t="str">
        <f>IF(AND(A67=A68,V67=100,V68=100),"full access","")</f>
        <v/>
      </c>
      <c r="X67" s="2" t="str">
        <f>IFERROR(IF(A68=A67,((U67-U68)/(C67-C68)),""),"null")</f>
        <v/>
      </c>
      <c r="Y67" s="2">
        <v>8.0344628690000004</v>
      </c>
      <c r="Z67" s="2">
        <v>1.2964262689999999</v>
      </c>
      <c r="AA67" s="2">
        <v>0</v>
      </c>
      <c r="AB67" s="2" t="str">
        <f>IFERROR(IF(A68=A67, Q67-X67, ""), "null")</f>
        <v/>
      </c>
    </row>
    <row r="68" spans="1:28">
      <c r="A68" s="2" t="s">
        <v>75</v>
      </c>
      <c r="B68" s="2" t="str">
        <f>VLOOKUP(A68,Regions!A:B,2,0)</f>
        <v>Sub-Saharan Africa</v>
      </c>
      <c r="C68" s="2">
        <v>2015</v>
      </c>
      <c r="D68" s="2">
        <f>IF(A69=A68,ABS(C69-C68),"")</f>
        <v>5</v>
      </c>
      <c r="E68" s="2">
        <f>IFERROR(IF(A69=A68,((H68-H69)/(C68-C69)), ""), "null")</f>
        <v>0.66525281000000125</v>
      </c>
      <c r="F68" s="2">
        <v>524.73999019999997</v>
      </c>
      <c r="G68" s="2">
        <v>64.299995420000002</v>
      </c>
      <c r="H68" s="2">
        <v>85.443342369999996</v>
      </c>
      <c r="I68" s="2">
        <f>IFERROR(ROUND(H68,0),"null")</f>
        <v>85</v>
      </c>
      <c r="J68" s="2" t="str">
        <f>IF(AND(A69=A68,I68=100,I69=100),"full access", " ")</f>
        <v xml:space="preserve"> </v>
      </c>
      <c r="K68" s="2">
        <v>10.253077619999999</v>
      </c>
      <c r="L68" s="2">
        <v>4.1519483189999997</v>
      </c>
      <c r="M68" s="2">
        <v>0.15163169109999999</v>
      </c>
      <c r="N68" s="2">
        <v>72.832314109999999</v>
      </c>
      <c r="O68" s="2">
        <f>IFERROR(ROUND(N68,0),"null")</f>
        <v>73</v>
      </c>
      <c r="P68" s="2" t="str">
        <f>IF(AND(A68=A69,O68=100,O69=100),"full access"," ")</f>
        <v xml:space="preserve"> </v>
      </c>
      <c r="Q68" s="2">
        <f>IFERROR(IF(A69=A68,((N68-N69)/(C68-C69)),""),"null")</f>
        <v>1.4564422659999992</v>
      </c>
      <c r="R68" s="2">
        <v>16.379794579999999</v>
      </c>
      <c r="S68" s="2">
        <v>10.436760769999999</v>
      </c>
      <c r="T68" s="2">
        <v>0.35113053970000002</v>
      </c>
      <c r="U68" s="2">
        <v>92.445114509999996</v>
      </c>
      <c r="V68" s="2">
        <f>IFERROR(ROUND(U68,0),"null")</f>
        <v>92</v>
      </c>
      <c r="W68" s="2" t="str">
        <f>IF(AND(A68=A69,V68=100,V69=100),"full access","")</f>
        <v/>
      </c>
      <c r="X68" s="2">
        <f>IFERROR(IF(A69=A68,((U68-U69)/(C68-C69)),""),"null")</f>
        <v>0.13097709799999963</v>
      </c>
      <c r="Y68" s="2">
        <v>6.8514639109999997</v>
      </c>
      <c r="Z68" s="2">
        <v>0.66255362809999996</v>
      </c>
      <c r="AA68" s="2">
        <v>4.0867953800000002E-2</v>
      </c>
      <c r="AB68" s="2">
        <f>IFERROR(IF(A69=A68, Q68-X68, ""), "null")</f>
        <v>1.3254651679999996</v>
      </c>
    </row>
    <row r="69" spans="1:28">
      <c r="A69" s="2" t="s">
        <v>75</v>
      </c>
      <c r="B69" s="2" t="str">
        <f>VLOOKUP(A69,Regions!A:B,2,0)</f>
        <v>Sub-Saharan Africa</v>
      </c>
      <c r="C69" s="2">
        <v>2020</v>
      </c>
      <c r="D69" s="2" t="str">
        <f>IF(A70=A69,ABS(C70-C69),"")</f>
        <v/>
      </c>
      <c r="E69" s="2" t="str">
        <f>IFERROR(IF(A70=A69,((H69-H70)/(C69-C70)), ""), "null")</f>
        <v/>
      </c>
      <c r="F69" s="2">
        <v>555.98797609999997</v>
      </c>
      <c r="G69" s="2">
        <v>66.652000430000001</v>
      </c>
      <c r="H69" s="2">
        <v>88.769606420000002</v>
      </c>
      <c r="I69" s="2">
        <f>IFERROR(ROUND(H69,0),"null")</f>
        <v>89</v>
      </c>
      <c r="J69" s="2" t="str">
        <f>IF(AND(A70=A69,I69=100,I70=100),"full access", " ")</f>
        <v xml:space="preserve"> </v>
      </c>
      <c r="K69" s="2">
        <v>7.9041508460000003</v>
      </c>
      <c r="L69" s="2">
        <v>3.2091477159999999</v>
      </c>
      <c r="M69" s="2">
        <v>0.1170950144</v>
      </c>
      <c r="N69" s="2">
        <v>80.114525439999994</v>
      </c>
      <c r="O69" s="2">
        <f>IFERROR(ROUND(N69,0),"null")</f>
        <v>80</v>
      </c>
      <c r="P69" s="2" t="str">
        <f>IF(AND(A69=A70,O69=100,O70=100),"full access"," ")</f>
        <v xml:space="preserve"> </v>
      </c>
      <c r="Q69" s="2" t="str">
        <f>IFERROR(IF(A70=A69,((N69-N70)/(C69-C70)),""),"null")</f>
        <v/>
      </c>
      <c r="R69" s="2">
        <v>9.9111270220000005</v>
      </c>
      <c r="S69" s="2">
        <v>9.6232170030000006</v>
      </c>
      <c r="T69" s="2">
        <v>0.35113053970000002</v>
      </c>
      <c r="U69" s="2">
        <v>93.1</v>
      </c>
      <c r="V69" s="2">
        <f>IFERROR(ROUND(U69,0),"null")</f>
        <v>93</v>
      </c>
      <c r="W69" s="2" t="str">
        <f>IF(AND(A69=A70,V69=100,V70=100),"full access","")</f>
        <v/>
      </c>
      <c r="X69" s="2" t="str">
        <f>IFERROR(IF(A70=A69,((U69-U70)/(C69-C70)),""),"null")</f>
        <v/>
      </c>
      <c r="Y69" s="2">
        <v>6.9</v>
      </c>
      <c r="Z69" s="2">
        <v>0</v>
      </c>
      <c r="AA69" s="2">
        <v>0</v>
      </c>
      <c r="AB69" s="2" t="str">
        <f>IFERROR(IF(A70=A69, Q69-X69, ""), "null")</f>
        <v/>
      </c>
    </row>
    <row r="70" spans="1:28">
      <c r="A70" s="2" t="s">
        <v>76</v>
      </c>
      <c r="B70" s="2" t="str">
        <f>VLOOKUP(A70,Regions!A:B,2,0)</f>
        <v>East Asia &amp; Pacific</v>
      </c>
      <c r="C70" s="2">
        <v>2015</v>
      </c>
      <c r="D70" s="2">
        <f>IF(A71=A70,ABS(C71-C70),"")</f>
        <v>5</v>
      </c>
      <c r="E70" s="2">
        <f>IFERROR(IF(A71=A70,((H70-H71)/(C70-C71)), ""), "null")</f>
        <v>0.55520720199999973</v>
      </c>
      <c r="F70" s="2">
        <v>15521.434569999999</v>
      </c>
      <c r="G70" s="2">
        <v>22.187999730000001</v>
      </c>
      <c r="H70" s="2">
        <v>68.443848959999997</v>
      </c>
      <c r="I70" s="2">
        <f>IFERROR(ROUND(H70,0),"null")</f>
        <v>68</v>
      </c>
      <c r="J70" s="2" t="str">
        <f>IF(AND(A71=A70,I70=100,I71=100),"full access", " ")</f>
        <v xml:space="preserve"> </v>
      </c>
      <c r="K70" s="2">
        <v>8.6032481930000007</v>
      </c>
      <c r="L70" s="2">
        <v>9.6029948170000008</v>
      </c>
      <c r="M70" s="2">
        <v>13.34990803</v>
      </c>
      <c r="N70" s="2">
        <v>62.711116680000003</v>
      </c>
      <c r="O70" s="2">
        <f>IFERROR(ROUND(N70,0),"null")</f>
        <v>63</v>
      </c>
      <c r="P70" s="2" t="str">
        <f>IF(AND(A70=A71,O70=100,O71=100),"full access"," ")</f>
        <v xml:space="preserve"> </v>
      </c>
      <c r="Q70" s="2">
        <f>IFERROR(IF(A71=A70,((N70-N71)/(C70-C71)),""),"null")</f>
        <v>0.47120783000000016</v>
      </c>
      <c r="R70" s="2">
        <v>9.432045638</v>
      </c>
      <c r="S70" s="2">
        <v>11.750895959999999</v>
      </c>
      <c r="T70" s="2">
        <v>16.105941720000001</v>
      </c>
      <c r="U70" s="2">
        <v>88.548191439999997</v>
      </c>
      <c r="V70" s="2">
        <f>IFERROR(ROUND(U70,0),"null")</f>
        <v>89</v>
      </c>
      <c r="W70" s="2" t="str">
        <f>IF(AND(A70=A71,V70=100,V71=100),"full access","")</f>
        <v/>
      </c>
      <c r="X70" s="2">
        <f>IFERROR(IF(A71=A70,((U70-U71)/(C70-C71)),""),"null")</f>
        <v>0.38197714599999982</v>
      </c>
      <c r="Y70" s="2">
        <v>5.6967034720000003</v>
      </c>
      <c r="Z70" s="2">
        <v>2.0704456869999999</v>
      </c>
      <c r="AA70" s="2">
        <v>3.6846594000000001</v>
      </c>
      <c r="AB70" s="2">
        <f>IFERROR(IF(A71=A70, Q70-X70, ""), "null")</f>
        <v>8.9230684000000338E-2</v>
      </c>
    </row>
    <row r="71" spans="1:28">
      <c r="A71" s="2" t="s">
        <v>76</v>
      </c>
      <c r="B71" s="2" t="str">
        <f>VLOOKUP(A71,Regions!A:B,2,0)</f>
        <v>East Asia &amp; Pacific</v>
      </c>
      <c r="C71" s="2">
        <v>2020</v>
      </c>
      <c r="D71" s="2" t="str">
        <f>IF(A72=A71,ABS(C72-C71),"")</f>
        <v/>
      </c>
      <c r="E71" s="2" t="str">
        <f>IFERROR(IF(A72=A71,((H71-H72)/(C71-C72)), ""), "null")</f>
        <v/>
      </c>
      <c r="F71" s="2">
        <v>16718.970700000002</v>
      </c>
      <c r="G71" s="2">
        <v>24.23200035</v>
      </c>
      <c r="H71" s="2">
        <v>71.219884969999995</v>
      </c>
      <c r="I71" s="2">
        <f>IFERROR(ROUND(H71,0),"null")</f>
        <v>71</v>
      </c>
      <c r="J71" s="2" t="str">
        <f>IF(AND(A72=A71,I71=100,I72=100),"full access", " ")</f>
        <v xml:space="preserve"> </v>
      </c>
      <c r="K71" s="2">
        <v>13.90222204</v>
      </c>
      <c r="L71" s="2">
        <v>5.6772185579999999</v>
      </c>
      <c r="M71" s="2">
        <v>9.2006744339999997</v>
      </c>
      <c r="N71" s="2">
        <v>65.067155830000004</v>
      </c>
      <c r="O71" s="2">
        <f>IFERROR(ROUND(N71,0),"null")</f>
        <v>65</v>
      </c>
      <c r="P71" s="2" t="str">
        <f>IF(AND(A71=A72,O71=100,O72=100),"full access"," ")</f>
        <v xml:space="preserve"> </v>
      </c>
      <c r="Q71" s="2" t="str">
        <f>IFERROR(IF(A72=A71,((N71-N72)/(C71-C72)),""),"null")</f>
        <v/>
      </c>
      <c r="R71" s="2">
        <v>15.51772278</v>
      </c>
      <c r="S71" s="2">
        <v>7.4928993070000001</v>
      </c>
      <c r="T71" s="2">
        <v>11.92222209</v>
      </c>
      <c r="U71" s="2">
        <v>90.458077169999996</v>
      </c>
      <c r="V71" s="2">
        <f>IFERROR(ROUND(U71,0),"null")</f>
        <v>90</v>
      </c>
      <c r="W71" s="2" t="str">
        <f>IF(AND(A71=A72,V71=100,V72=100),"full access","")</f>
        <v/>
      </c>
      <c r="X71" s="2" t="str">
        <f>IFERROR(IF(A72=A71,((U71-U72)/(C71-C72)),""),"null")</f>
        <v/>
      </c>
      <c r="Y71" s="2">
        <v>8.8509147200000005</v>
      </c>
      <c r="Z71" s="2">
        <v>0</v>
      </c>
      <c r="AA71" s="2">
        <v>0.69100811439999998</v>
      </c>
      <c r="AB71" s="2" t="str">
        <f>IFERROR(IF(A72=A71, Q71-X71, ""), "null")</f>
        <v/>
      </c>
    </row>
    <row r="72" spans="1:28">
      <c r="A72" s="2" t="s">
        <v>77</v>
      </c>
      <c r="B72" s="2" t="str">
        <f>VLOOKUP(A72,Regions!A:B,2,0)</f>
        <v>Sub-Saharan Africa</v>
      </c>
      <c r="C72" s="2">
        <v>2015</v>
      </c>
      <c r="D72" s="2">
        <f>IF(A73=A72,ABS(C73-C72),"")</f>
        <v>5</v>
      </c>
      <c r="E72" s="2">
        <f>IFERROR(IF(A73=A72,((H72-H73)/(C72-C73)), ""), "null")</f>
        <v>0.34928561199999847</v>
      </c>
      <c r="F72" s="2">
        <v>23298.376950000002</v>
      </c>
      <c r="G72" s="2">
        <v>54.57799911</v>
      </c>
      <c r="H72" s="2">
        <v>63.973990120000003</v>
      </c>
      <c r="I72" s="2">
        <f>IFERROR(ROUND(H72,0),"null")</f>
        <v>64</v>
      </c>
      <c r="J72" s="2" t="str">
        <f>IF(AND(A73=A72,I72=100,I73=100),"full access", " ")</f>
        <v xml:space="preserve"> </v>
      </c>
      <c r="K72" s="2">
        <v>11.23827056</v>
      </c>
      <c r="L72" s="2">
        <v>17.651358330000001</v>
      </c>
      <c r="M72" s="2">
        <v>7.1363809839999996</v>
      </c>
      <c r="N72" s="2">
        <v>42.005669210000001</v>
      </c>
      <c r="O72" s="2">
        <f>IFERROR(ROUND(N72,0),"null")</f>
        <v>42</v>
      </c>
      <c r="P72" s="2" t="str">
        <f>IF(AND(A72=A73,O72=100,O73=100),"full access"," ")</f>
        <v xml:space="preserve"> </v>
      </c>
      <c r="Q72" s="2">
        <f>IFERROR(IF(A73=A72,((N72-N73)/(C72-C73)),""),"null")</f>
        <v>0.30438238200000001</v>
      </c>
      <c r="R72" s="2">
        <v>11.073386409999999</v>
      </c>
      <c r="S72" s="2">
        <v>32.39404459</v>
      </c>
      <c r="T72" s="2">
        <v>14.52689979</v>
      </c>
      <c r="U72" s="2">
        <v>82.256907909999995</v>
      </c>
      <c r="V72" s="2">
        <f>IFERROR(ROUND(U72,0),"null")</f>
        <v>82</v>
      </c>
      <c r="W72" s="2" t="str">
        <f>IF(AND(A72=A73,V72=100,V73=100),"full access","")</f>
        <v/>
      </c>
      <c r="X72" s="2">
        <f>IFERROR(IF(A73=A72,((U72-U73)/(C72-C73)),""),"null")</f>
        <v>-3.4664609999998673E-2</v>
      </c>
      <c r="Y72" s="2">
        <v>11.37549377</v>
      </c>
      <c r="Z72" s="2">
        <v>5.3819035130000001</v>
      </c>
      <c r="AA72" s="2">
        <v>0.98569480279999999</v>
      </c>
      <c r="AB72" s="2">
        <f>IFERROR(IF(A73=A72, Q72-X72, ""), "null")</f>
        <v>0.33904699199999866</v>
      </c>
    </row>
    <row r="73" spans="1:28">
      <c r="A73" s="2" t="s">
        <v>77</v>
      </c>
      <c r="B73" s="2" t="str">
        <f>VLOOKUP(A73,Regions!A:B,2,0)</f>
        <v>Sub-Saharan Africa</v>
      </c>
      <c r="C73" s="2">
        <v>2020</v>
      </c>
      <c r="D73" s="2" t="str">
        <f>IF(A74=A73,ABS(C74-C73),"")</f>
        <v/>
      </c>
      <c r="E73" s="2" t="str">
        <f>IFERROR(IF(A74=A73,((H73-H74)/(C73-C74)), ""), "null")</f>
        <v/>
      </c>
      <c r="F73" s="2">
        <v>26545.863280000001</v>
      </c>
      <c r="G73" s="2">
        <v>57.560005189999998</v>
      </c>
      <c r="H73" s="2">
        <v>65.720418179999996</v>
      </c>
      <c r="I73" s="2">
        <f>IFERROR(ROUND(H73,0),"null")</f>
        <v>66</v>
      </c>
      <c r="J73" s="2" t="str">
        <f>IF(AND(A74=A73,I73=100,I74=100),"full access", " ")</f>
        <v xml:space="preserve"> </v>
      </c>
      <c r="K73" s="2">
        <v>12.874748629999999</v>
      </c>
      <c r="L73" s="2">
        <v>15.00100626</v>
      </c>
      <c r="M73" s="2">
        <v>6.4038269269999999</v>
      </c>
      <c r="N73" s="2">
        <v>43.527581120000001</v>
      </c>
      <c r="O73" s="2">
        <f>IFERROR(ROUND(N73,0),"null")</f>
        <v>44</v>
      </c>
      <c r="P73" s="2" t="str">
        <f>IF(AND(A73=A74,O73=100,O74=100),"full access"," ")</f>
        <v xml:space="preserve"> </v>
      </c>
      <c r="Q73" s="2" t="str">
        <f>IFERROR(IF(A74=A73,((N73-N74)/(C73-C74)),""),"null")</f>
        <v/>
      </c>
      <c r="R73" s="2">
        <v>12.67259943</v>
      </c>
      <c r="S73" s="2">
        <v>30.12380645</v>
      </c>
      <c r="T73" s="2">
        <v>13.676012999999999</v>
      </c>
      <c r="U73" s="2">
        <v>82.083584860000002</v>
      </c>
      <c r="V73" s="2">
        <f>IFERROR(ROUND(U73,0),"null")</f>
        <v>82</v>
      </c>
      <c r="W73" s="2" t="str">
        <f>IF(AND(A73=A74,V73=100,V74=100),"full access","")</f>
        <v/>
      </c>
      <c r="X73" s="2" t="str">
        <f>IFERROR(IF(A74=A73,((U73-U74)/(C73-C74)),""),"null")</f>
        <v/>
      </c>
      <c r="Y73" s="2">
        <v>13.023796770000001</v>
      </c>
      <c r="Z73" s="2">
        <v>3.8507013510000001</v>
      </c>
      <c r="AA73" s="2">
        <v>1.041917019</v>
      </c>
      <c r="AB73" s="2" t="str">
        <f>IFERROR(IF(A74=A73, Q73-X73, ""), "null")</f>
        <v/>
      </c>
    </row>
    <row r="74" spans="1:28">
      <c r="A74" s="2" t="s">
        <v>78</v>
      </c>
      <c r="B74" s="2" t="str">
        <f>VLOOKUP(A74,Regions!A:B,2,0)</f>
        <v>North America</v>
      </c>
      <c r="C74" s="2">
        <v>2015</v>
      </c>
      <c r="D74" s="2">
        <f>IF(A75=A74,ABS(C75-C74),"")</f>
        <v>5</v>
      </c>
      <c r="E74" s="2">
        <f>IFERROR(IF(A75=A74,((H74-H75)/(C74-C75)), ""), "null")</f>
        <v>-1.4821460000007391E-3</v>
      </c>
      <c r="F74" s="2">
        <v>36026.667970000002</v>
      </c>
      <c r="G74" s="2">
        <v>81.259002690000003</v>
      </c>
      <c r="H74" s="2">
        <v>99.229221390000006</v>
      </c>
      <c r="I74" s="2">
        <f>IFERROR(ROUND(H74,0),"null")</f>
        <v>99</v>
      </c>
      <c r="J74" s="2" t="str">
        <f>IF(AND(A75=A74,I74=100,I75=100),"full access", " ")</f>
        <v xml:space="preserve"> </v>
      </c>
      <c r="K74" s="2">
        <v>0</v>
      </c>
      <c r="L74" s="2">
        <v>0.77077860909999996</v>
      </c>
      <c r="M74" s="2">
        <v>0</v>
      </c>
      <c r="N74" s="2">
        <v>98.81619508</v>
      </c>
      <c r="O74" s="2">
        <f>IFERROR(ROUND(N74,0),"null")</f>
        <v>99</v>
      </c>
      <c r="P74" s="2" t="str">
        <f>IF(AND(A74=A75,O74=100,O75=100),"full access"," ")</f>
        <v xml:space="preserve"> </v>
      </c>
      <c r="Q74" s="2">
        <f>IFERROR(IF(A75=A74,((N74-N75)/(C74-C75)),""),"null")</f>
        <v>4.8860164000001302E-2</v>
      </c>
      <c r="R74" s="2">
        <v>0</v>
      </c>
      <c r="S74" s="2">
        <v>1.183804922</v>
      </c>
      <c r="T74" s="2">
        <v>0</v>
      </c>
      <c r="U74" s="2">
        <v>99.324478850000006</v>
      </c>
      <c r="V74" s="2">
        <f>IFERROR(ROUND(U74,0),"null")</f>
        <v>99</v>
      </c>
      <c r="W74" s="2" t="str">
        <f>IF(AND(A74=A75,V74=100,V75=100),"full access","")</f>
        <v/>
      </c>
      <c r="X74" s="2">
        <f>IFERROR(IF(A75=A74,((U74-U75)/(C74-C75)),""),"null")</f>
        <v>-1.3240238000000204E-2</v>
      </c>
      <c r="Y74" s="2">
        <v>0</v>
      </c>
      <c r="Z74" s="2">
        <v>0.67552114730000001</v>
      </c>
      <c r="AA74" s="2">
        <v>0</v>
      </c>
      <c r="AB74" s="2">
        <f>IFERROR(IF(A75=A74, Q74-X74, ""), "null")</f>
        <v>6.2100402000001505E-2</v>
      </c>
    </row>
    <row r="75" spans="1:28">
      <c r="A75" s="2" t="s">
        <v>78</v>
      </c>
      <c r="B75" s="2" t="str">
        <f>VLOOKUP(A75,Regions!A:B,2,0)</f>
        <v>North America</v>
      </c>
      <c r="C75" s="2">
        <v>2020</v>
      </c>
      <c r="D75" s="2" t="str">
        <f>IF(A76=A75,ABS(C76-C75),"")</f>
        <v/>
      </c>
      <c r="E75" s="2" t="str">
        <f>IFERROR(IF(A76=A75,((H75-H76)/(C75-C76)), ""), "null")</f>
        <v/>
      </c>
      <c r="F75" s="2">
        <v>37742.15625</v>
      </c>
      <c r="G75" s="2">
        <v>81.562004090000002</v>
      </c>
      <c r="H75" s="2">
        <v>99.221810660000003</v>
      </c>
      <c r="I75" s="2">
        <f>IFERROR(ROUND(H75,0),"null")</f>
        <v>99</v>
      </c>
      <c r="J75" s="2" t="str">
        <f>IF(AND(A76=A75,I75=100,I76=100),"full access", " ")</f>
        <v xml:space="preserve"> </v>
      </c>
      <c r="K75" s="2">
        <v>0</v>
      </c>
      <c r="L75" s="2">
        <v>0.77818933690000003</v>
      </c>
      <c r="M75" s="2">
        <v>0</v>
      </c>
      <c r="N75" s="2">
        <v>99.060495900000006</v>
      </c>
      <c r="O75" s="2">
        <f>IFERROR(ROUND(N75,0),"null")</f>
        <v>99</v>
      </c>
      <c r="P75" s="2" t="str">
        <f>IF(AND(A75=A76,O75=100,O76=100),"full access"," ")</f>
        <v xml:space="preserve"> </v>
      </c>
      <c r="Q75" s="2" t="str">
        <f>IFERROR(IF(A76=A75,((N75-N76)/(C75-C76)),""),"null")</f>
        <v/>
      </c>
      <c r="R75" s="2">
        <v>0</v>
      </c>
      <c r="S75" s="2">
        <v>0.9395041006</v>
      </c>
      <c r="T75" s="2">
        <v>0</v>
      </c>
      <c r="U75" s="2">
        <v>99.258277660000005</v>
      </c>
      <c r="V75" s="2">
        <f>IFERROR(ROUND(U75,0),"null")</f>
        <v>99</v>
      </c>
      <c r="W75" s="2" t="str">
        <f>IF(AND(A75=A76,V75=100,V76=100),"full access","")</f>
        <v/>
      </c>
      <c r="X75" s="2" t="str">
        <f>IFERROR(IF(A76=A75,((U75-U76)/(C75-C76)),""),"null")</f>
        <v/>
      </c>
      <c r="Y75" s="2">
        <v>0</v>
      </c>
      <c r="Z75" s="2">
        <v>0.74172233710000002</v>
      </c>
      <c r="AA75" s="2">
        <v>0</v>
      </c>
      <c r="AB75" s="2" t="str">
        <f>IFERROR(IF(A76=A75, Q75-X75, ""), "null")</f>
        <v/>
      </c>
    </row>
    <row r="76" spans="1:28">
      <c r="A76" s="2" t="s">
        <v>79</v>
      </c>
      <c r="B76" s="2" t="str">
        <f>VLOOKUP(A76,Regions!A:B,2,0)</f>
        <v>Latin America &amp; Caribbean</v>
      </c>
      <c r="C76" s="2">
        <v>2015</v>
      </c>
      <c r="D76" s="2">
        <f>IF(A77=A76,ABS(C77-C76),"")</f>
        <v>1</v>
      </c>
      <c r="E76" s="2">
        <f>IFERROR(IF(A77=A76,((H76-H77)/(C76-C77)), ""), "null")</f>
        <v>0</v>
      </c>
      <c r="F76" s="2">
        <v>61.721000670000002</v>
      </c>
      <c r="G76" s="2">
        <v>100</v>
      </c>
      <c r="H76" s="2">
        <v>96.125</v>
      </c>
      <c r="I76" s="2">
        <f>IFERROR(ROUND(H76,0),"null")</f>
        <v>96</v>
      </c>
      <c r="J76" s="2" t="str">
        <f>IF(AND(A77=A76,I76=100,I77=100),"full access", " ")</f>
        <v xml:space="preserve"> </v>
      </c>
      <c r="K76" s="2">
        <v>0</v>
      </c>
      <c r="L76" s="2">
        <v>3.875</v>
      </c>
      <c r="M76" s="2">
        <v>0</v>
      </c>
      <c r="N76" s="2" t="s">
        <v>45</v>
      </c>
      <c r="O76" s="2" t="str">
        <f>IFERROR(ROUND(N76,0),"null")</f>
        <v>null</v>
      </c>
      <c r="P76" s="2" t="str">
        <f>IF(AND(A76=A77,O76=100,O77=100),"full access"," ")</f>
        <v xml:space="preserve"> </v>
      </c>
      <c r="Q76" s="2" t="str">
        <f>IFERROR(IF(A77=A76,((N76-N77)/(C76-C77)),""),"null")</f>
        <v>null</v>
      </c>
      <c r="R76" s="2" t="s">
        <v>45</v>
      </c>
      <c r="S76" s="2" t="s">
        <v>45</v>
      </c>
      <c r="T76" s="2" t="s">
        <v>45</v>
      </c>
      <c r="U76" s="2">
        <v>96.125</v>
      </c>
      <c r="V76" s="2">
        <f>IFERROR(ROUND(U76,0),"null")</f>
        <v>96</v>
      </c>
      <c r="W76" s="2" t="str">
        <f>IF(AND(A76=A77,V76=100,V77=100),"full access","")</f>
        <v/>
      </c>
      <c r="X76" s="2">
        <f>IFERROR(IF(A77=A76,((U76-U77)/(C76-C77)),""),"null")</f>
        <v>0</v>
      </c>
      <c r="Y76" s="2">
        <v>0</v>
      </c>
      <c r="Z76" s="2">
        <v>3.875</v>
      </c>
      <c r="AA76" s="2">
        <v>0</v>
      </c>
      <c r="AB76" s="2" t="str">
        <f>IFERROR(IF(A77=A76, Q76-X76, ""), "null")</f>
        <v>null</v>
      </c>
    </row>
    <row r="77" spans="1:28">
      <c r="A77" s="2" t="s">
        <v>79</v>
      </c>
      <c r="B77" s="2" t="str">
        <f>VLOOKUP(A77,Regions!A:B,2,0)</f>
        <v>Latin America &amp; Caribbean</v>
      </c>
      <c r="C77" s="2">
        <v>2016</v>
      </c>
      <c r="D77" s="2" t="str">
        <f>IF(A78=A77,ABS(C78-C77),"")</f>
        <v/>
      </c>
      <c r="E77" s="2" t="str">
        <f>IFERROR(IF(A78=A77,((H77-H78)/(C77-C78)), ""), "null")</f>
        <v/>
      </c>
      <c r="F77" s="2">
        <v>62.563999180000003</v>
      </c>
      <c r="G77" s="2">
        <v>100</v>
      </c>
      <c r="H77" s="2">
        <v>96.125</v>
      </c>
      <c r="I77" s="2">
        <f>IFERROR(ROUND(H77,0),"null")</f>
        <v>96</v>
      </c>
      <c r="J77" s="2" t="str">
        <f>IF(AND(A78=A77,I77=100,I78=100),"full access", " ")</f>
        <v xml:space="preserve"> </v>
      </c>
      <c r="K77" s="2">
        <v>0</v>
      </c>
      <c r="L77" s="2">
        <v>3.875</v>
      </c>
      <c r="M77" s="2">
        <v>0</v>
      </c>
      <c r="N77" s="2" t="s">
        <v>45</v>
      </c>
      <c r="O77" s="2" t="str">
        <f>IFERROR(ROUND(N77,0),"null")</f>
        <v>null</v>
      </c>
      <c r="P77" s="2" t="str">
        <f>IF(AND(A77=A78,O77=100,O78=100),"full access"," ")</f>
        <v xml:space="preserve"> </v>
      </c>
      <c r="Q77" s="2" t="str">
        <f>IFERROR(IF(A78=A77,((N77-N78)/(C77-C78)),""),"null")</f>
        <v/>
      </c>
      <c r="R77" s="2" t="s">
        <v>45</v>
      </c>
      <c r="S77" s="2" t="s">
        <v>45</v>
      </c>
      <c r="T77" s="2" t="s">
        <v>45</v>
      </c>
      <c r="U77" s="2">
        <v>96.125</v>
      </c>
      <c r="V77" s="2">
        <f>IFERROR(ROUND(U77,0),"null")</f>
        <v>96</v>
      </c>
      <c r="W77" s="2" t="str">
        <f>IF(AND(A77=A78,V77=100,V78=100),"full access","")</f>
        <v/>
      </c>
      <c r="X77" s="2" t="str">
        <f>IFERROR(IF(A78=A77,((U77-U78)/(C77-C78)),""),"null")</f>
        <v/>
      </c>
      <c r="Y77" s="2">
        <v>0</v>
      </c>
      <c r="Z77" s="2">
        <v>3.875</v>
      </c>
      <c r="AA77" s="2">
        <v>0</v>
      </c>
      <c r="AB77" s="2" t="str">
        <f>IFERROR(IF(A78=A77, Q77-X77, ""), "null")</f>
        <v/>
      </c>
    </row>
    <row r="78" spans="1:28">
      <c r="A78" s="2" t="s">
        <v>80</v>
      </c>
      <c r="B78" s="2" t="str">
        <f>VLOOKUP(A78,Regions!A:B,2,0)</f>
        <v>Sub-Saharan Africa</v>
      </c>
      <c r="C78" s="2">
        <v>2015</v>
      </c>
      <c r="D78" s="2">
        <f>IF(A79=A78,ABS(C79-C78),"")</f>
        <v>5</v>
      </c>
      <c r="E78" s="2">
        <f>IFERROR(IF(A79=A78,((H78-H79)/(C78-C79)), ""), "null")</f>
        <v>-1.0217886739999997</v>
      </c>
      <c r="F78" s="2">
        <v>4493.1708980000003</v>
      </c>
      <c r="G78" s="2">
        <v>40.277000430000001</v>
      </c>
      <c r="H78" s="2">
        <v>42.311345420000002</v>
      </c>
      <c r="I78" s="2">
        <f>IFERROR(ROUND(H78,0),"null")</f>
        <v>42</v>
      </c>
      <c r="J78" s="2" t="str">
        <f>IF(AND(A79=A78,I78=100,I79=100),"full access", " ")</f>
        <v xml:space="preserve"> </v>
      </c>
      <c r="K78" s="2">
        <v>21.343997179999999</v>
      </c>
      <c r="L78" s="2">
        <v>32.010174079999999</v>
      </c>
      <c r="M78" s="2">
        <v>4.3344833180000002</v>
      </c>
      <c r="N78" s="2">
        <v>31.891407789999999</v>
      </c>
      <c r="O78" s="2">
        <f>IFERROR(ROUND(N78,0),"null")</f>
        <v>32</v>
      </c>
      <c r="P78" s="2" t="str">
        <f>IF(AND(A78=A79,O78=100,O79=100),"full access"," ")</f>
        <v xml:space="preserve"> </v>
      </c>
      <c r="Q78" s="2">
        <f>IFERROR(IF(A79=A78,((N78-N79)/(C78-C79)),""),"null")</f>
        <v>-0.75696272799999986</v>
      </c>
      <c r="R78" s="2">
        <v>17.35785358</v>
      </c>
      <c r="S78" s="2">
        <v>43.702609250000002</v>
      </c>
      <c r="T78" s="2">
        <v>7.0481293919999999</v>
      </c>
      <c r="U78" s="2">
        <v>57.76209901</v>
      </c>
      <c r="V78" s="2">
        <f>IFERROR(ROUND(U78,0),"null")</f>
        <v>58</v>
      </c>
      <c r="W78" s="2" t="str">
        <f>IF(AND(A78=A79,V78=100,V79=100),"full access","")</f>
        <v/>
      </c>
      <c r="X78" s="2">
        <f>IFERROR(IF(A79=A78,((U78-U79)/(C78-C79)),""),"null")</f>
        <v>-1.6200868119999996</v>
      </c>
      <c r="Y78" s="2">
        <v>27.25467806</v>
      </c>
      <c r="Z78" s="2">
        <v>14.67255123</v>
      </c>
      <c r="AA78" s="2">
        <v>0.31067170900000002</v>
      </c>
      <c r="AB78" s="2">
        <f>IFERROR(IF(A79=A78, Q78-X78, ""), "null")</f>
        <v>0.86312408399999974</v>
      </c>
    </row>
    <row r="79" spans="1:28">
      <c r="A79" s="2" t="s">
        <v>80</v>
      </c>
      <c r="B79" s="2" t="str">
        <f>VLOOKUP(A79,Regions!A:B,2,0)</f>
        <v>Sub-Saharan Africa</v>
      </c>
      <c r="C79" s="2">
        <v>2020</v>
      </c>
      <c r="D79" s="2" t="str">
        <f>IF(A80=A79,ABS(C80-C79),"")</f>
        <v/>
      </c>
      <c r="E79" s="2" t="str">
        <f>IFERROR(IF(A80=A79,((H79-H80)/(C79-C80)), ""), "null")</f>
        <v/>
      </c>
      <c r="F79" s="2">
        <v>4829.7641599999997</v>
      </c>
      <c r="G79" s="2">
        <v>42.197998050000002</v>
      </c>
      <c r="H79" s="2">
        <v>37.202402050000003</v>
      </c>
      <c r="I79" s="2">
        <f>IFERROR(ROUND(H79,0),"null")</f>
        <v>37</v>
      </c>
      <c r="J79" s="2" t="str">
        <f>IF(AND(A80=A79,I79=100,I80=100),"full access", " ")</f>
        <v xml:space="preserve"> </v>
      </c>
      <c r="K79" s="2">
        <v>25.682373479999999</v>
      </c>
      <c r="L79" s="2">
        <v>33.53911377</v>
      </c>
      <c r="M79" s="2">
        <v>3.5761107079999999</v>
      </c>
      <c r="N79" s="2">
        <v>28.106594149999999</v>
      </c>
      <c r="O79" s="2">
        <f>IFERROR(ROUND(N79,0),"null")</f>
        <v>28</v>
      </c>
      <c r="P79" s="2" t="str">
        <f>IF(AND(A79=A80,O79=100,O80=100),"full access"," ")</f>
        <v xml:space="preserve"> </v>
      </c>
      <c r="Q79" s="2" t="str">
        <f>IFERROR(IF(A80=A79,((N79-N80)/(C79-C80)),""),"null")</f>
        <v/>
      </c>
      <c r="R79" s="2">
        <v>19.405889899999998</v>
      </c>
      <c r="S79" s="2">
        <v>46.373073009999999</v>
      </c>
      <c r="T79" s="2">
        <v>6.1144429440000003</v>
      </c>
      <c r="U79" s="2">
        <v>49.661664950000002</v>
      </c>
      <c r="V79" s="2">
        <f>IFERROR(ROUND(U79,0),"null")</f>
        <v>50</v>
      </c>
      <c r="W79" s="2" t="str">
        <f>IF(AND(A79=A80,V79=100,V80=100),"full access","")</f>
        <v/>
      </c>
      <c r="X79" s="2" t="str">
        <f>IFERROR(IF(A80=A79,((U79-U80)/(C79-C80)),""),"null")</f>
        <v/>
      </c>
      <c r="Y79" s="2">
        <v>34.279780090000003</v>
      </c>
      <c r="Z79" s="2">
        <v>15.95940214</v>
      </c>
      <c r="AA79" s="2">
        <v>9.915281712E-2</v>
      </c>
      <c r="AB79" s="2" t="str">
        <f>IFERROR(IF(A80=A79, Q79-X79, ""), "null")</f>
        <v/>
      </c>
    </row>
    <row r="80" spans="1:28">
      <c r="A80" s="2" t="s">
        <v>81</v>
      </c>
      <c r="B80" s="2" t="str">
        <f>VLOOKUP(A80,Regions!A:B,2,0)</f>
        <v>Sub-Saharan Africa</v>
      </c>
      <c r="C80" s="2">
        <v>2015</v>
      </c>
      <c r="D80" s="2">
        <f>IF(A81=A80,ABS(C81-C80),"")</f>
        <v>5</v>
      </c>
      <c r="E80" s="2">
        <f>IFERROR(IF(A81=A80,((H80-H81)/(C80-C81)), ""), "null")</f>
        <v>0.35768756399999974</v>
      </c>
      <c r="F80" s="2">
        <v>14110.9707</v>
      </c>
      <c r="G80" s="2">
        <v>22.515001300000002</v>
      </c>
      <c r="H80" s="2">
        <v>44.399096970000002</v>
      </c>
      <c r="I80" s="2">
        <f>IFERROR(ROUND(H80,0),"null")</f>
        <v>44</v>
      </c>
      <c r="J80" s="2" t="str">
        <f>IF(AND(A81=A80,I80=100,I81=100),"full access", " ")</f>
        <v xml:space="preserve"> </v>
      </c>
      <c r="K80" s="2">
        <v>13.51638311</v>
      </c>
      <c r="L80" s="2">
        <v>34.702739940000001</v>
      </c>
      <c r="M80" s="2">
        <v>7.3817799820000003</v>
      </c>
      <c r="N80" s="2">
        <v>35.578900740000002</v>
      </c>
      <c r="O80" s="2">
        <f>IFERROR(ROUND(N80,0),"null")</f>
        <v>36</v>
      </c>
      <c r="P80" s="2" t="str">
        <f>IF(AND(A80=A81,O80=100,O81=100),"full access"," ")</f>
        <v xml:space="preserve"> </v>
      </c>
      <c r="Q80" s="2">
        <f>IFERROR(IF(A81=A80,((N80-N81)/(C80-C81)),""),"null")</f>
        <v>0.39926290199999953</v>
      </c>
      <c r="R80" s="2">
        <v>13.876413980000001</v>
      </c>
      <c r="S80" s="2">
        <v>41.266156469999999</v>
      </c>
      <c r="T80" s="2">
        <v>9.2785288060000006</v>
      </c>
      <c r="U80" s="2">
        <v>74.753651779999998</v>
      </c>
      <c r="V80" s="2">
        <f>IFERROR(ROUND(U80,0),"null")</f>
        <v>75</v>
      </c>
      <c r="W80" s="2" t="str">
        <f>IF(AND(A80=A81,V80=100,V81=100),"full access","")</f>
        <v/>
      </c>
      <c r="X80" s="2">
        <f>IFERROR(IF(A81=A80,((U80-U81)/(C80-C81)),""),"null")</f>
        <v>-0.11228573799999993</v>
      </c>
      <c r="Y80" s="2">
        <v>12.27734182</v>
      </c>
      <c r="Z80" s="2">
        <v>12.11485643</v>
      </c>
      <c r="AA80" s="2">
        <v>0.85414997150000005</v>
      </c>
      <c r="AB80" s="2">
        <f>IFERROR(IF(A81=A80, Q80-X80, ""), "null")</f>
        <v>0.51154863999999944</v>
      </c>
    </row>
    <row r="81" spans="1:28">
      <c r="A81" s="2" t="s">
        <v>81</v>
      </c>
      <c r="B81" s="2" t="str">
        <f>VLOOKUP(A81,Regions!A:B,2,0)</f>
        <v>Sub-Saharan Africa</v>
      </c>
      <c r="C81" s="2">
        <v>2020</v>
      </c>
      <c r="D81" s="2" t="str">
        <f>IF(A82=A81,ABS(C82-C81),"")</f>
        <v/>
      </c>
      <c r="E81" s="2" t="str">
        <f>IFERROR(IF(A82=A81,((H81-H82)/(C81-C82)), ""), "null")</f>
        <v/>
      </c>
      <c r="F81" s="2">
        <v>16425.859380000002</v>
      </c>
      <c r="G81" s="2">
        <v>23.520000459999999</v>
      </c>
      <c r="H81" s="2">
        <v>46.187534790000001</v>
      </c>
      <c r="I81" s="2">
        <f>IFERROR(ROUND(H81,0),"null")</f>
        <v>46</v>
      </c>
      <c r="J81" s="2" t="str">
        <f>IF(AND(A82=A81,I81=100,I82=100),"full access", " ")</f>
        <v xml:space="preserve"> </v>
      </c>
      <c r="K81" s="2">
        <v>14.74028929</v>
      </c>
      <c r="L81" s="2">
        <v>31.562457139999999</v>
      </c>
      <c r="M81" s="2">
        <v>7.5097187840000004</v>
      </c>
      <c r="N81" s="2">
        <v>37.575215249999999</v>
      </c>
      <c r="O81" s="2">
        <f>IFERROR(ROUND(N81,0),"null")</f>
        <v>38</v>
      </c>
      <c r="P81" s="2" t="str">
        <f>IF(AND(A81=A82,O81=100,O82=100),"full access"," ")</f>
        <v xml:space="preserve"> </v>
      </c>
      <c r="Q81" s="2" t="str">
        <f>IFERROR(IF(A82=A81,((N81-N82)/(C81-C82)),""),"null")</f>
        <v/>
      </c>
      <c r="R81" s="2">
        <v>14.35396111</v>
      </c>
      <c r="S81" s="2">
        <v>38.524967609999997</v>
      </c>
      <c r="T81" s="2">
        <v>9.5458560269999992</v>
      </c>
      <c r="U81" s="2">
        <v>74.192223089999999</v>
      </c>
      <c r="V81" s="2">
        <f>IFERROR(ROUND(U81,0),"null")</f>
        <v>74</v>
      </c>
      <c r="W81" s="2" t="str">
        <f>IF(AND(A81=A82,V81=100,V82=100),"full access","")</f>
        <v/>
      </c>
      <c r="X81" s="2" t="str">
        <f>IFERROR(IF(A82=A81,((U81-U82)/(C81-C82)),""),"null")</f>
        <v/>
      </c>
      <c r="Y81" s="2">
        <v>15.99651381</v>
      </c>
      <c r="Z81" s="2">
        <v>8.9224527210000009</v>
      </c>
      <c r="AA81" s="2">
        <v>0.88881038430000003</v>
      </c>
      <c r="AB81" s="2" t="str">
        <f>IFERROR(IF(A82=A81, Q81-X81, ""), "null")</f>
        <v/>
      </c>
    </row>
    <row r="82" spans="1:28">
      <c r="A82" s="2" t="s">
        <v>82</v>
      </c>
      <c r="B82" s="2" t="str">
        <f>VLOOKUP(A82,Regions!A:B,2,0)</f>
        <v>Europe &amp; Central Asia</v>
      </c>
      <c r="C82" s="2">
        <v>2015</v>
      </c>
      <c r="D82" s="2">
        <f>IF(A83=A82,ABS(C83-C82),"")</f>
        <v>2</v>
      </c>
      <c r="E82" s="2">
        <f>IFERROR(IF(A83=A82,((H82-H83)/(C82-C83)), ""), "null")</f>
        <v>0</v>
      </c>
      <c r="F82" s="2">
        <v>165.38699339999999</v>
      </c>
      <c r="G82" s="2">
        <v>30.96199799</v>
      </c>
      <c r="H82" s="2">
        <v>94.15</v>
      </c>
      <c r="I82" s="2">
        <f>IFERROR(ROUND(H82,0),"null")</f>
        <v>94</v>
      </c>
      <c r="J82" s="2" t="str">
        <f>IF(AND(A83=A82,I82=100,I83=100),"full access", " ")</f>
        <v xml:space="preserve"> </v>
      </c>
      <c r="K82" s="2">
        <v>0</v>
      </c>
      <c r="L82" s="2">
        <v>5.85</v>
      </c>
      <c r="M82" s="2">
        <v>0</v>
      </c>
      <c r="N82" s="2" t="s">
        <v>45</v>
      </c>
      <c r="O82" s="2" t="str">
        <f>IFERROR(ROUND(N82,0),"null")</f>
        <v>null</v>
      </c>
      <c r="P82" s="2" t="str">
        <f>IF(AND(A82=A83,O82=100,O83=100),"full access"," ")</f>
        <v xml:space="preserve"> </v>
      </c>
      <c r="Q82" s="2" t="str">
        <f>IFERROR(IF(A83=A82,((N82-N83)/(C82-C83)),""),"null")</f>
        <v>null</v>
      </c>
      <c r="R82" s="2" t="s">
        <v>45</v>
      </c>
      <c r="S82" s="2" t="s">
        <v>45</v>
      </c>
      <c r="T82" s="2" t="s">
        <v>45</v>
      </c>
      <c r="U82" s="2" t="s">
        <v>45</v>
      </c>
      <c r="V82" s="2" t="str">
        <f>IFERROR(ROUND(U82,0),"null")</f>
        <v>null</v>
      </c>
      <c r="W82" s="2" t="str">
        <f>IF(AND(A82=A83,V82=100,V83=100),"full access","")</f>
        <v/>
      </c>
      <c r="X82" s="2" t="str">
        <f>IFERROR(IF(A83=A82,((U82-U83)/(C82-C83)),""),"null")</f>
        <v>null</v>
      </c>
      <c r="Y82" s="2" t="s">
        <v>45</v>
      </c>
      <c r="Z82" s="2" t="s">
        <v>45</v>
      </c>
      <c r="AA82" s="2" t="s">
        <v>45</v>
      </c>
      <c r="AB82" s="2" t="str">
        <f>IFERROR(IF(A83=A82, Q82-X82, ""), "null")</f>
        <v>null</v>
      </c>
    </row>
    <row r="83" spans="1:28">
      <c r="A83" s="2" t="s">
        <v>82</v>
      </c>
      <c r="B83" s="2" t="str">
        <f>VLOOKUP(A83,Regions!A:B,2,0)</f>
        <v>Europe &amp; Central Asia</v>
      </c>
      <c r="C83" s="2">
        <v>2017</v>
      </c>
      <c r="D83" s="2" t="str">
        <f>IF(A84=A83,ABS(C84-C83),"")</f>
        <v/>
      </c>
      <c r="E83" s="2" t="str">
        <f>IFERROR(IF(A84=A83,((H83-H84)/(C83-C84)), ""), "null")</f>
        <v/>
      </c>
      <c r="F83" s="2">
        <v>168.6660004</v>
      </c>
      <c r="G83" s="2">
        <v>30.913999560000001</v>
      </c>
      <c r="H83" s="2">
        <v>94.15</v>
      </c>
      <c r="I83" s="2">
        <f>IFERROR(ROUND(H83,0),"null")</f>
        <v>94</v>
      </c>
      <c r="J83" s="2" t="str">
        <f>IF(AND(A84=A83,I83=100,I84=100),"full access", " ")</f>
        <v xml:space="preserve"> </v>
      </c>
      <c r="K83" s="2">
        <v>0</v>
      </c>
      <c r="L83" s="2">
        <v>5.85</v>
      </c>
      <c r="M83" s="2">
        <v>0</v>
      </c>
      <c r="N83" s="2" t="s">
        <v>45</v>
      </c>
      <c r="O83" s="2" t="str">
        <f>IFERROR(ROUND(N83,0),"null")</f>
        <v>null</v>
      </c>
      <c r="P83" s="2" t="str">
        <f>IF(AND(A83=A84,O83=100,O84=100),"full access"," ")</f>
        <v xml:space="preserve"> </v>
      </c>
      <c r="Q83" s="2" t="str">
        <f>IFERROR(IF(A84=A83,((N83-N84)/(C83-C84)),""),"null")</f>
        <v/>
      </c>
      <c r="R83" s="2" t="s">
        <v>45</v>
      </c>
      <c r="S83" s="2" t="s">
        <v>45</v>
      </c>
      <c r="T83" s="2" t="s">
        <v>45</v>
      </c>
      <c r="U83" s="2" t="s">
        <v>45</v>
      </c>
      <c r="V83" s="2" t="str">
        <f>IFERROR(ROUND(U83,0),"null")</f>
        <v>null</v>
      </c>
      <c r="W83" s="2" t="str">
        <f>IF(AND(A83=A84,V83=100,V84=100),"full access","")</f>
        <v/>
      </c>
      <c r="X83" s="2" t="str">
        <f>IFERROR(IF(A84=A83,((U83-U84)/(C83-C84)),""),"null")</f>
        <v/>
      </c>
      <c r="Y83" s="2" t="s">
        <v>45</v>
      </c>
      <c r="Z83" s="2" t="s">
        <v>45</v>
      </c>
      <c r="AA83" s="2" t="s">
        <v>45</v>
      </c>
      <c r="AB83" s="2" t="str">
        <f>IFERROR(IF(A84=A83, Q83-X83, ""), "null")</f>
        <v/>
      </c>
    </row>
    <row r="84" spans="1:28">
      <c r="A84" s="2" t="s">
        <v>83</v>
      </c>
      <c r="B84" s="2" t="str">
        <f>VLOOKUP(A84,Regions!A:B,2,0)</f>
        <v>Latin America &amp; Caribbean</v>
      </c>
      <c r="C84" s="2">
        <v>2015</v>
      </c>
      <c r="D84" s="2">
        <f>IF(A85=A84,ABS(C85-C84),"")</f>
        <v>5</v>
      </c>
      <c r="E84" s="2">
        <f>IFERROR(IF(A85=A84,((H84-H85)/(C84-C85)), ""), "null")</f>
        <v>9.8701199999999295E-2</v>
      </c>
      <c r="F84" s="2">
        <v>17969.355469999999</v>
      </c>
      <c r="G84" s="2">
        <v>87.36000061</v>
      </c>
      <c r="H84" s="2">
        <v>99.506492719999997</v>
      </c>
      <c r="I84" s="2">
        <f>IFERROR(ROUND(H84,0),"null")</f>
        <v>100</v>
      </c>
      <c r="J84" s="2" t="str">
        <f>IF(AND(A85=A84,I84=100,I85=100),"full access", " ")</f>
        <v>full access</v>
      </c>
      <c r="K84" s="2">
        <v>0</v>
      </c>
      <c r="L84" s="2">
        <v>0.49350727579999998</v>
      </c>
      <c r="M84" s="2">
        <v>0</v>
      </c>
      <c r="N84" s="2">
        <v>97.067698500000006</v>
      </c>
      <c r="O84" s="2">
        <f>IFERROR(ROUND(N84,0),"null")</f>
        <v>97</v>
      </c>
      <c r="P84" s="2" t="str">
        <f>IF(AND(A84=A85,O84=100,O85=100),"full access"," ")</f>
        <v xml:space="preserve"> </v>
      </c>
      <c r="Q84" s="2">
        <f>IFERROR(IF(A85=A84,((N84-N85)/(C84-C85)),""),"null")</f>
        <v>0.58646029999999882</v>
      </c>
      <c r="R84" s="2">
        <v>0</v>
      </c>
      <c r="S84" s="2">
        <v>2.9323014980000002</v>
      </c>
      <c r="T84" s="2">
        <v>0</v>
      </c>
      <c r="U84" s="2">
        <v>99.859356980000001</v>
      </c>
      <c r="V84" s="2">
        <f>IFERROR(ROUND(U84,0),"null")</f>
        <v>100</v>
      </c>
      <c r="W84" s="2" t="str">
        <f>IF(AND(A84=A85,V84=100,V85=100),"full access","")</f>
        <v>full access</v>
      </c>
      <c r="X84" s="2">
        <f>IFERROR(IF(A85=A84,((U84-U85)/(C84-C85)),""),"null")</f>
        <v>2.8128603999999769E-2</v>
      </c>
      <c r="Y84" s="2">
        <v>0</v>
      </c>
      <c r="Z84" s="2">
        <v>0.1406430186</v>
      </c>
      <c r="AA84" s="2">
        <v>0</v>
      </c>
      <c r="AB84" s="2">
        <f>IFERROR(IF(A85=A84, Q84-X84, ""), "null")</f>
        <v>0.5583316959999991</v>
      </c>
    </row>
    <row r="85" spans="1:28">
      <c r="A85" s="2" t="s">
        <v>83</v>
      </c>
      <c r="B85" s="2" t="str">
        <f>VLOOKUP(A85,Regions!A:B,2,0)</f>
        <v>Latin America &amp; Caribbean</v>
      </c>
      <c r="C85" s="2">
        <v>2020</v>
      </c>
      <c r="D85" s="2" t="str">
        <f>IF(A86=A85,ABS(C86-C85),"")</f>
        <v/>
      </c>
      <c r="E85" s="2" t="str">
        <f>IFERROR(IF(A86=A85,((H85-H86)/(C85-C86)), ""), "null")</f>
        <v/>
      </c>
      <c r="F85" s="2">
        <v>19116.208979999999</v>
      </c>
      <c r="G85" s="2">
        <v>87.72699738</v>
      </c>
      <c r="H85" s="2">
        <v>99.999998719999994</v>
      </c>
      <c r="I85" s="2">
        <f>IFERROR(ROUND(H85,0),"null")</f>
        <v>100</v>
      </c>
      <c r="J85" s="2" t="str">
        <f>IF(AND(A86=A85,I85=100,I86=100),"full access", " ")</f>
        <v xml:space="preserve"> </v>
      </c>
      <c r="K85" s="2">
        <v>0</v>
      </c>
      <c r="L85" s="2">
        <v>1.2771393330000001E-6</v>
      </c>
      <c r="M85" s="2">
        <v>0</v>
      </c>
      <c r="N85" s="2">
        <v>100</v>
      </c>
      <c r="O85" s="2">
        <f>IFERROR(ROUND(N85,0),"null")</f>
        <v>100</v>
      </c>
      <c r="P85" s="2" t="str">
        <f>IF(AND(A85=A86,O85=100,O86=100),"full access"," ")</f>
        <v xml:space="preserve"> </v>
      </c>
      <c r="Q85" s="2" t="str">
        <f>IFERROR(IF(A86=A85,((N85-N86)/(C85-C86)),""),"null")</f>
        <v/>
      </c>
      <c r="R85" s="2">
        <v>0</v>
      </c>
      <c r="S85" s="2">
        <v>0</v>
      </c>
      <c r="T85" s="2">
        <v>0</v>
      </c>
      <c r="U85" s="2">
        <v>100</v>
      </c>
      <c r="V85" s="2">
        <f>IFERROR(ROUND(U85,0),"null")</f>
        <v>100</v>
      </c>
      <c r="W85" s="2" t="str">
        <f>IF(AND(A85=A86,V85=100,V86=100),"full access","")</f>
        <v/>
      </c>
      <c r="X85" s="2" t="str">
        <f>IFERROR(IF(A86=A85,((U85-U86)/(C85-C86)),""),"null")</f>
        <v/>
      </c>
      <c r="Y85" s="2">
        <v>0</v>
      </c>
      <c r="Z85" s="2">
        <v>0</v>
      </c>
      <c r="AA85" s="2">
        <v>0</v>
      </c>
      <c r="AB85" s="2" t="str">
        <f>IFERROR(IF(A86=A85, Q85-X85, ""), "null")</f>
        <v/>
      </c>
    </row>
    <row r="86" spans="1:28">
      <c r="A86" s="2" t="s">
        <v>84</v>
      </c>
      <c r="B86" s="2" t="str">
        <f>VLOOKUP(A86,Regions!A:B,2,0)</f>
        <v>East Asia &amp; Pacific</v>
      </c>
      <c r="C86" s="2">
        <v>2015</v>
      </c>
      <c r="D86" s="2">
        <f>IF(A87=A86,ABS(C87-C86),"")</f>
        <v>5</v>
      </c>
      <c r="E86" s="2">
        <f>IFERROR(IF(A87=A86,((H86-H87)/(C86-C87)), ""), "null")</f>
        <v>0.49969387200000026</v>
      </c>
      <c r="F86" s="2">
        <v>1430405.375</v>
      </c>
      <c r="G86" s="2">
        <v>55.852706910000002</v>
      </c>
      <c r="H86" s="2">
        <v>91.76264123</v>
      </c>
      <c r="I86" s="2">
        <f>IFERROR(ROUND(H86,0),"null")</f>
        <v>92</v>
      </c>
      <c r="J86" s="2" t="str">
        <f>IF(AND(A87=A86,I86=100,I87=100),"full access", " ")</f>
        <v xml:space="preserve"> </v>
      </c>
      <c r="K86" s="2">
        <v>0.81876266180000001</v>
      </c>
      <c r="L86" s="2">
        <v>6.7820774070000001</v>
      </c>
      <c r="M86" s="2">
        <v>0.63651870079999995</v>
      </c>
      <c r="N86" s="2">
        <v>84.479187920000001</v>
      </c>
      <c r="O86" s="2">
        <f>IFERROR(ROUND(N86,0),"null")</f>
        <v>84</v>
      </c>
      <c r="P86" s="2" t="str">
        <f>IF(AND(A86=A87,O86=100,O87=100),"full access"," ")</f>
        <v xml:space="preserve"> </v>
      </c>
      <c r="Q86" s="2">
        <f>IFERROR(IF(A87=A86,((N86-N87)/(C86-C87)),""),"null")</f>
        <v>1.0364091180000004</v>
      </c>
      <c r="R86" s="2">
        <v>1.51186307</v>
      </c>
      <c r="S86" s="2">
        <v>12.952949009999999</v>
      </c>
      <c r="T86" s="2">
        <v>1.056</v>
      </c>
      <c r="U86" s="2">
        <v>97.519653969999993</v>
      </c>
      <c r="V86" s="2">
        <f>IFERROR(ROUND(U86,0),"null")</f>
        <v>98</v>
      </c>
      <c r="W86" s="2" t="str">
        <f>IF(AND(A86=A87,V86=100,V87=100),"full access","")</f>
        <v/>
      </c>
      <c r="X86" s="2">
        <f>IFERROR(IF(A87=A86,((U86-U87)/(C86-C87)),""),"null")</f>
        <v>-8.0954259999998612E-2</v>
      </c>
      <c r="Y86" s="2">
        <v>0.27091980389999998</v>
      </c>
      <c r="Z86" s="2">
        <v>1.9044754100000001</v>
      </c>
      <c r="AA86" s="2">
        <v>0.30495081969999999</v>
      </c>
      <c r="AB86" s="2">
        <f>IFERROR(IF(A87=A86, Q86-X86, ""), "null")</f>
        <v>1.117363377999999</v>
      </c>
    </row>
    <row r="87" spans="1:28">
      <c r="A87" s="2" t="s">
        <v>84</v>
      </c>
      <c r="B87" s="2" t="str">
        <f>VLOOKUP(A87,Regions!A:B,2,0)</f>
        <v>East Asia &amp; Pacific</v>
      </c>
      <c r="C87" s="2">
        <v>2020</v>
      </c>
      <c r="D87" s="2" t="str">
        <f>IF(A88=A87,ABS(C88-C87),"")</f>
        <v/>
      </c>
      <c r="E87" s="2" t="str">
        <f>IFERROR(IF(A88=A87,((H87-H88)/(C87-C88)), ""), "null")</f>
        <v/>
      </c>
      <c r="F87" s="2">
        <v>1463140.5</v>
      </c>
      <c r="G87" s="2">
        <v>61.713088990000003</v>
      </c>
      <c r="H87" s="2">
        <v>94.261110590000001</v>
      </c>
      <c r="I87" s="2">
        <f>IFERROR(ROUND(H87,0),"null")</f>
        <v>94</v>
      </c>
      <c r="J87" s="2" t="str">
        <f>IF(AND(A88=A87,I87=100,I88=100),"full access", " ")</f>
        <v xml:space="preserve"> </v>
      </c>
      <c r="K87" s="2">
        <v>0.8147213297</v>
      </c>
      <c r="L87" s="2">
        <v>4.725451938</v>
      </c>
      <c r="M87" s="2">
        <v>0.19871614409999999</v>
      </c>
      <c r="N87" s="2">
        <v>89.661233510000002</v>
      </c>
      <c r="O87" s="2">
        <f>IFERROR(ROUND(N87,0),"null")</f>
        <v>90</v>
      </c>
      <c r="P87" s="2" t="str">
        <f>IF(AND(A87=A88,O87=100,O88=100),"full access"," ")</f>
        <v xml:space="preserve"> </v>
      </c>
      <c r="Q87" s="2" t="str">
        <f>IFERROR(IF(A88=A87,((N87-N88)/(C87-C88)),""),"null")</f>
        <v/>
      </c>
      <c r="R87" s="2">
        <v>1.832679086</v>
      </c>
      <c r="S87" s="2">
        <v>8.5060874089999992</v>
      </c>
      <c r="T87" s="2">
        <v>0</v>
      </c>
      <c r="U87" s="2">
        <v>97.11488267</v>
      </c>
      <c r="V87" s="2">
        <f>IFERROR(ROUND(U87,0),"null")</f>
        <v>97</v>
      </c>
      <c r="W87" s="2" t="str">
        <f>IF(AND(A87=A88,V87=100,V88=100),"full access","")</f>
        <v/>
      </c>
      <c r="X87" s="2" t="str">
        <f>IFERROR(IF(A88=A87,((U87-U88)/(C87-C88)),""),"null")</f>
        <v/>
      </c>
      <c r="Y87" s="2">
        <v>0.1831784927</v>
      </c>
      <c r="Z87" s="2">
        <v>2.3799388399999999</v>
      </c>
      <c r="AA87" s="2">
        <v>0.32200000000000001</v>
      </c>
      <c r="AB87" s="2" t="str">
        <f>IFERROR(IF(A88=A87, Q87-X87, ""), "null")</f>
        <v/>
      </c>
    </row>
    <row r="88" spans="1:28">
      <c r="A88" s="2" t="s">
        <v>85</v>
      </c>
      <c r="B88" s="2" t="str">
        <f>VLOOKUP(A88,Regions!A:B,2,0)</f>
        <v>East Asia &amp; Pacific</v>
      </c>
      <c r="C88" s="2">
        <v>2015</v>
      </c>
      <c r="D88" s="2">
        <f>IF(A89=A88,ABS(C89-C88),"")</f>
        <v>5</v>
      </c>
      <c r="E88" s="2">
        <f>IFERROR(IF(A89=A88,((H88-H89)/(C88-C89)), ""), "null")</f>
        <v>0</v>
      </c>
      <c r="F88" s="2">
        <v>7185.9921880000002</v>
      </c>
      <c r="G88" s="2">
        <v>100</v>
      </c>
      <c r="H88" s="2">
        <v>100</v>
      </c>
      <c r="I88" s="2">
        <f>IFERROR(ROUND(H88,0),"null")</f>
        <v>100</v>
      </c>
      <c r="J88" s="2" t="str">
        <f>IF(AND(A89=A88,I88=100,I89=100),"full access", " ")</f>
        <v>full access</v>
      </c>
      <c r="K88" s="2">
        <v>0</v>
      </c>
      <c r="L88" s="2">
        <v>0</v>
      </c>
      <c r="M88" s="2">
        <v>0</v>
      </c>
      <c r="N88" s="2" t="s">
        <v>45</v>
      </c>
      <c r="O88" s="2" t="str">
        <f>IFERROR(ROUND(N88,0),"null")</f>
        <v>null</v>
      </c>
      <c r="P88" s="2" t="str">
        <f>IF(AND(A88=A89,O88=100,O89=100),"full access"," ")</f>
        <v xml:space="preserve"> </v>
      </c>
      <c r="Q88" s="2" t="str">
        <f>IFERROR(IF(A89=A88,((N88-N89)/(C88-C89)),""),"null")</f>
        <v>null</v>
      </c>
      <c r="R88" s="2" t="s">
        <v>45</v>
      </c>
      <c r="S88" s="2" t="s">
        <v>45</v>
      </c>
      <c r="T88" s="2" t="s">
        <v>45</v>
      </c>
      <c r="U88" s="2">
        <v>100</v>
      </c>
      <c r="V88" s="2">
        <f>IFERROR(ROUND(U88,0),"null")</f>
        <v>100</v>
      </c>
      <c r="W88" s="2" t="str">
        <f>IF(AND(A88=A89,V88=100,V89=100),"full access","")</f>
        <v>full access</v>
      </c>
      <c r="X88" s="2">
        <f>IFERROR(IF(A89=A88,((U88-U89)/(C88-C89)),""),"null")</f>
        <v>0</v>
      </c>
      <c r="Y88" s="2">
        <v>0</v>
      </c>
      <c r="Z88" s="2">
        <v>0</v>
      </c>
      <c r="AA88" s="2">
        <v>0</v>
      </c>
      <c r="AB88" s="2" t="str">
        <f>IFERROR(IF(A89=A88, Q88-X88, ""), "null")</f>
        <v>null</v>
      </c>
    </row>
    <row r="89" spans="1:28">
      <c r="A89" s="2" t="s">
        <v>85</v>
      </c>
      <c r="B89" s="2" t="str">
        <f>VLOOKUP(A89,Regions!A:B,2,0)</f>
        <v>East Asia &amp; Pacific</v>
      </c>
      <c r="C89" s="2">
        <v>2020</v>
      </c>
      <c r="D89" s="2" t="str">
        <f>IF(A90=A89,ABS(C90-C89),"")</f>
        <v/>
      </c>
      <c r="E89" s="2" t="str">
        <f>IFERROR(IF(A90=A89,((H89-H90)/(C89-C90)), ""), "null")</f>
        <v/>
      </c>
      <c r="F89" s="2">
        <v>7496.9877930000002</v>
      </c>
      <c r="G89" s="2">
        <v>100</v>
      </c>
      <c r="H89" s="2">
        <v>100</v>
      </c>
      <c r="I89" s="2">
        <f>IFERROR(ROUND(H89,0),"null")</f>
        <v>100</v>
      </c>
      <c r="J89" s="2" t="str">
        <f>IF(AND(A90=A89,I89=100,I90=100),"full access", " ")</f>
        <v xml:space="preserve"> </v>
      </c>
      <c r="K89" s="2">
        <v>0</v>
      </c>
      <c r="L89" s="2">
        <v>0</v>
      </c>
      <c r="M89" s="2">
        <v>0</v>
      </c>
      <c r="N89" s="2" t="s">
        <v>45</v>
      </c>
      <c r="O89" s="2" t="str">
        <f>IFERROR(ROUND(N89,0),"null")</f>
        <v>null</v>
      </c>
      <c r="P89" s="2" t="str">
        <f>IF(AND(A89=A90,O89=100,O90=100),"full access"," ")</f>
        <v xml:space="preserve"> </v>
      </c>
      <c r="Q89" s="2" t="str">
        <f>IFERROR(IF(A90=A89,((N89-N90)/(C89-C90)),""),"null")</f>
        <v/>
      </c>
      <c r="R89" s="2" t="s">
        <v>45</v>
      </c>
      <c r="S89" s="2" t="s">
        <v>45</v>
      </c>
      <c r="T89" s="2" t="s">
        <v>45</v>
      </c>
      <c r="U89" s="2">
        <v>100</v>
      </c>
      <c r="V89" s="2">
        <f>IFERROR(ROUND(U89,0),"null")</f>
        <v>100</v>
      </c>
      <c r="W89" s="2" t="str">
        <f>IF(AND(A89=A90,V89=100,V90=100),"full access","")</f>
        <v/>
      </c>
      <c r="X89" s="2" t="str">
        <f>IFERROR(IF(A90=A89,((U89-U90)/(C89-C90)),""),"null")</f>
        <v/>
      </c>
      <c r="Y89" s="2">
        <v>0</v>
      </c>
      <c r="Z89" s="2">
        <v>0</v>
      </c>
      <c r="AA89" s="2">
        <v>0</v>
      </c>
      <c r="AB89" s="2" t="str">
        <f>IFERROR(IF(A90=A89, Q89-X89, ""), "null")</f>
        <v/>
      </c>
    </row>
    <row r="90" spans="1:28">
      <c r="A90" s="2" t="s">
        <v>86</v>
      </c>
      <c r="B90" s="2" t="str">
        <f>VLOOKUP(A90,Regions!A:B,2,0)</f>
        <v>East Asia &amp; Pacific</v>
      </c>
      <c r="C90" s="2">
        <v>2015</v>
      </c>
      <c r="D90" s="2">
        <f>IF(A91=A90,ABS(C91-C90),"")</f>
        <v>5</v>
      </c>
      <c r="E90" s="2">
        <f>IFERROR(IF(A91=A90,((H90-H91)/(C90-C91)), ""), "null")</f>
        <v>0</v>
      </c>
      <c r="F90" s="2">
        <v>602.09301760000005</v>
      </c>
      <c r="G90" s="2">
        <v>100</v>
      </c>
      <c r="H90" s="2">
        <v>100</v>
      </c>
      <c r="I90" s="2">
        <f>IFERROR(ROUND(H90,0),"null")</f>
        <v>100</v>
      </c>
      <c r="J90" s="2" t="str">
        <f>IF(AND(A91=A90,I90=100,I91=100),"full access", " ")</f>
        <v>full access</v>
      </c>
      <c r="K90" s="2">
        <v>0</v>
      </c>
      <c r="L90" s="2">
        <v>0</v>
      </c>
      <c r="M90" s="2">
        <v>0</v>
      </c>
      <c r="N90" s="2" t="s">
        <v>45</v>
      </c>
      <c r="O90" s="2" t="str">
        <f>IFERROR(ROUND(N90,0),"null")</f>
        <v>null</v>
      </c>
      <c r="P90" s="2" t="str">
        <f>IF(AND(A90=A91,O90=100,O91=100),"full access"," ")</f>
        <v xml:space="preserve"> </v>
      </c>
      <c r="Q90" s="2" t="str">
        <f>IFERROR(IF(A91=A90,((N90-N91)/(C90-C91)),""),"null")</f>
        <v>null</v>
      </c>
      <c r="R90" s="2" t="s">
        <v>45</v>
      </c>
      <c r="S90" s="2" t="s">
        <v>45</v>
      </c>
      <c r="T90" s="2" t="s">
        <v>45</v>
      </c>
      <c r="U90" s="2">
        <v>100</v>
      </c>
      <c r="V90" s="2">
        <f>IFERROR(ROUND(U90,0),"null")</f>
        <v>100</v>
      </c>
      <c r="W90" s="2" t="str">
        <f>IF(AND(A90=A91,V90=100,V91=100),"full access","")</f>
        <v>full access</v>
      </c>
      <c r="X90" s="2">
        <f>IFERROR(IF(A91=A90,((U90-U91)/(C90-C91)),""),"null")</f>
        <v>0</v>
      </c>
      <c r="Y90" s="2">
        <v>0</v>
      </c>
      <c r="Z90" s="2">
        <v>0</v>
      </c>
      <c r="AA90" s="2">
        <v>0</v>
      </c>
      <c r="AB90" s="2" t="str">
        <f>IFERROR(IF(A91=A90, Q90-X90, ""), "null")</f>
        <v>null</v>
      </c>
    </row>
    <row r="91" spans="1:28">
      <c r="A91" s="2" t="s">
        <v>86</v>
      </c>
      <c r="B91" s="2" t="str">
        <f>VLOOKUP(A91,Regions!A:B,2,0)</f>
        <v>East Asia &amp; Pacific</v>
      </c>
      <c r="C91" s="2">
        <v>2020</v>
      </c>
      <c r="D91" s="2" t="str">
        <f>IF(A92=A91,ABS(C92-C91),"")</f>
        <v/>
      </c>
      <c r="E91" s="2" t="str">
        <f>IFERROR(IF(A92=A91,((H91-H92)/(C91-C92)), ""), "null")</f>
        <v/>
      </c>
      <c r="F91" s="2">
        <v>649.34198000000004</v>
      </c>
      <c r="G91" s="2">
        <v>100</v>
      </c>
      <c r="H91" s="2">
        <v>100</v>
      </c>
      <c r="I91" s="2">
        <f>IFERROR(ROUND(H91,0),"null")</f>
        <v>100</v>
      </c>
      <c r="J91" s="2" t="str">
        <f>IF(AND(A92=A91,I91=100,I92=100),"full access", " ")</f>
        <v xml:space="preserve"> </v>
      </c>
      <c r="K91" s="2">
        <v>0</v>
      </c>
      <c r="L91" s="2">
        <v>0</v>
      </c>
      <c r="M91" s="2">
        <v>0</v>
      </c>
      <c r="N91" s="2" t="s">
        <v>45</v>
      </c>
      <c r="O91" s="2" t="str">
        <f>IFERROR(ROUND(N91,0),"null")</f>
        <v>null</v>
      </c>
      <c r="P91" s="2" t="str">
        <f>IF(AND(A91=A92,O91=100,O92=100),"full access"," ")</f>
        <v xml:space="preserve"> </v>
      </c>
      <c r="Q91" s="2" t="str">
        <f>IFERROR(IF(A92=A91,((N91-N92)/(C91-C92)),""),"null")</f>
        <v/>
      </c>
      <c r="R91" s="2" t="s">
        <v>45</v>
      </c>
      <c r="S91" s="2" t="s">
        <v>45</v>
      </c>
      <c r="T91" s="2" t="s">
        <v>45</v>
      </c>
      <c r="U91" s="2">
        <v>100</v>
      </c>
      <c r="V91" s="2">
        <f>IFERROR(ROUND(U91,0),"null")</f>
        <v>100</v>
      </c>
      <c r="W91" s="2" t="str">
        <f>IF(AND(A91=A92,V91=100,V92=100),"full access","")</f>
        <v/>
      </c>
      <c r="X91" s="2" t="str">
        <f>IFERROR(IF(A92=A91,((U91-U92)/(C91-C92)),""),"null")</f>
        <v/>
      </c>
      <c r="Y91" s="2">
        <v>0</v>
      </c>
      <c r="Z91" s="2">
        <v>0</v>
      </c>
      <c r="AA91" s="2">
        <v>0</v>
      </c>
      <c r="AB91" s="2" t="str">
        <f>IFERROR(IF(A92=A91, Q91-X91, ""), "null")</f>
        <v/>
      </c>
    </row>
    <row r="92" spans="1:28">
      <c r="A92" s="2" t="s">
        <v>87</v>
      </c>
      <c r="B92" s="2" t="str">
        <f>VLOOKUP(A92,Regions!A:B,2,0)</f>
        <v>Latin America &amp; Caribbean</v>
      </c>
      <c r="C92" s="2">
        <v>2015</v>
      </c>
      <c r="D92" s="2">
        <f>IF(A93=A92,ABS(C93-C92),"")</f>
        <v>5</v>
      </c>
      <c r="E92" s="2">
        <f>IFERROR(IF(A93=A92,((H92-H93)/(C92-C93)), ""), "null")</f>
        <v>0.23115779800000097</v>
      </c>
      <c r="F92" s="2">
        <v>47520.667970000002</v>
      </c>
      <c r="G92" s="2">
        <v>79.763999940000005</v>
      </c>
      <c r="H92" s="2">
        <v>96.335868120000001</v>
      </c>
      <c r="I92" s="2">
        <f>IFERROR(ROUND(H92,0),"null")</f>
        <v>96</v>
      </c>
      <c r="J92" s="2" t="str">
        <f>IF(AND(A93=A92,I92=100,I93=100),"full access", " ")</f>
        <v xml:space="preserve"> </v>
      </c>
      <c r="K92" s="2">
        <v>0.1840519904</v>
      </c>
      <c r="L92" s="2">
        <v>1.7034450619999999</v>
      </c>
      <c r="M92" s="2">
        <v>1.7766348270000001</v>
      </c>
      <c r="N92" s="2">
        <v>83.273725850000005</v>
      </c>
      <c r="O92" s="2">
        <f>IFERROR(ROUND(N92,0),"null")</f>
        <v>83</v>
      </c>
      <c r="P92" s="2" t="str">
        <f>IF(AND(A92=A93,O92=100,O93=100),"full access"," ")</f>
        <v xml:space="preserve"> </v>
      </c>
      <c r="Q92" s="2">
        <f>IFERROR(IF(A93=A92,((N92-N93)/(C92-C93)),""),"null")</f>
        <v>0.69866939399999806</v>
      </c>
      <c r="R92" s="2">
        <v>0.68766562610000004</v>
      </c>
      <c r="S92" s="2">
        <v>7.2590323550000004</v>
      </c>
      <c r="T92" s="2">
        <v>8.7795761720000005</v>
      </c>
      <c r="U92" s="2">
        <v>99.649712370000003</v>
      </c>
      <c r="V92" s="2">
        <f>IFERROR(ROUND(U92,0),"null")</f>
        <v>100</v>
      </c>
      <c r="W92" s="2" t="str">
        <f>IF(AND(A92=A93,V92=100,V93=100),"full access","")</f>
        <v>full access</v>
      </c>
      <c r="X92" s="2">
        <f>IFERROR(IF(A93=A92,((U92-U93)/(C92-C93)),""),"null")</f>
        <v>5.7696085999998557E-2</v>
      </c>
      <c r="Y92" s="2">
        <v>5.6286030219999998E-2</v>
      </c>
      <c r="Z92" s="2">
        <v>0.29400160289999999</v>
      </c>
      <c r="AA92" s="2">
        <v>0</v>
      </c>
      <c r="AB92" s="2">
        <f>IFERROR(IF(A93=A92, Q92-X92, ""), "null")</f>
        <v>0.64097330799999952</v>
      </c>
    </row>
    <row r="93" spans="1:28">
      <c r="A93" s="2" t="s">
        <v>87</v>
      </c>
      <c r="B93" s="2" t="str">
        <f>VLOOKUP(A93,Regions!A:B,2,0)</f>
        <v>Latin America &amp; Caribbean</v>
      </c>
      <c r="C93" s="2">
        <v>2020</v>
      </c>
      <c r="D93" s="2" t="str">
        <f>IF(A94=A93,ABS(C94-C93),"")</f>
        <v/>
      </c>
      <c r="E93" s="2" t="str">
        <f>IFERROR(IF(A94=A93,((H93-H94)/(C93-C94)), ""), "null")</f>
        <v/>
      </c>
      <c r="F93" s="2">
        <v>50882.882810000003</v>
      </c>
      <c r="G93" s="2">
        <v>81.424995420000002</v>
      </c>
      <c r="H93" s="2">
        <v>97.491657110000006</v>
      </c>
      <c r="I93" s="2">
        <f>IFERROR(ROUND(H93,0),"null")</f>
        <v>97</v>
      </c>
      <c r="J93" s="2" t="str">
        <f>IF(AND(A94=A93,I93=100,I94=100),"full access", " ")</f>
        <v xml:space="preserve"> </v>
      </c>
      <c r="K93" s="2">
        <v>0.18615215909999999</v>
      </c>
      <c r="L93" s="2">
        <v>0.95361622280000002</v>
      </c>
      <c r="M93" s="2">
        <v>1.3685745119999999</v>
      </c>
      <c r="N93" s="2">
        <v>86.767072819999996</v>
      </c>
      <c r="O93" s="2">
        <f>IFERROR(ROUND(N93,0),"null")</f>
        <v>87</v>
      </c>
      <c r="P93" s="2" t="str">
        <f>IF(AND(A93=A94,O93=100,O94=100),"full access"," ")</f>
        <v xml:space="preserve"> </v>
      </c>
      <c r="Q93" s="2" t="str">
        <f>IFERROR(IF(A94=A93,((N93-N94)/(C93-C94)),""),"null")</f>
        <v/>
      </c>
      <c r="R93" s="2">
        <v>0.73122820160000002</v>
      </c>
      <c r="S93" s="2">
        <v>5.13386897</v>
      </c>
      <c r="T93" s="2">
        <v>7.3678300050000001</v>
      </c>
      <c r="U93" s="2">
        <v>99.938192799999996</v>
      </c>
      <c r="V93" s="2">
        <f>IFERROR(ROUND(U93,0),"null")</f>
        <v>100</v>
      </c>
      <c r="W93" s="2" t="str">
        <f>IF(AND(A93=A94,V93=100,V94=100),"full access","")</f>
        <v/>
      </c>
      <c r="X93" s="2" t="str">
        <f>IFERROR(IF(A94=A93,((U93-U94)/(C93-C94)),""),"null")</f>
        <v/>
      </c>
      <c r="Y93" s="2">
        <v>6.18072E-2</v>
      </c>
      <c r="Z93" s="2">
        <v>0</v>
      </c>
      <c r="AA93" s="2">
        <v>0</v>
      </c>
      <c r="AB93" s="2" t="str">
        <f>IFERROR(IF(A94=A93, Q93-X93, ""), "null")</f>
        <v/>
      </c>
    </row>
    <row r="94" spans="1:28">
      <c r="A94" s="2" t="s">
        <v>88</v>
      </c>
      <c r="B94" s="2" t="str">
        <f>VLOOKUP(A94,Regions!A:B,2,0)</f>
        <v>Sub-Saharan Africa</v>
      </c>
      <c r="C94" s="2">
        <v>2015</v>
      </c>
      <c r="D94" s="2">
        <f>IF(A95=A94,ABS(C95-C94),"")</f>
        <v>4</v>
      </c>
      <c r="E94" s="2">
        <f>IFERROR(IF(A95=A94,((H94-H95)/(C94-C95)), ""), "null")</f>
        <v>1.9624432500002342E-2</v>
      </c>
      <c r="F94" s="2">
        <v>777.43499759999997</v>
      </c>
      <c r="G94" s="2">
        <v>28.47000122</v>
      </c>
      <c r="H94" s="2">
        <v>80.132000079999997</v>
      </c>
      <c r="I94" s="2">
        <f>IFERROR(ROUND(H94,0),"null")</f>
        <v>80</v>
      </c>
      <c r="J94" s="2" t="str">
        <f>IF(AND(A95=A94,I94=100,I95=100),"full access", " ")</f>
        <v xml:space="preserve"> </v>
      </c>
      <c r="K94" s="2">
        <v>10.877265</v>
      </c>
      <c r="L94" s="2">
        <v>8.3951934319999992</v>
      </c>
      <c r="M94" s="2">
        <v>0.59554149119999999</v>
      </c>
      <c r="N94" s="2">
        <v>76.911723449999997</v>
      </c>
      <c r="O94" s="2">
        <f>IFERROR(ROUND(N94,0),"null")</f>
        <v>77</v>
      </c>
      <c r="P94" s="2" t="str">
        <f>IF(AND(A94=A95,O94=100,O95=100),"full access"," ")</f>
        <v xml:space="preserve"> </v>
      </c>
      <c r="Q94" s="2">
        <f>IFERROR(IF(A95=A94,((N94-N95)/(C94-C95)),""),"null")</f>
        <v>0</v>
      </c>
      <c r="R94" s="2">
        <v>11.568647240000001</v>
      </c>
      <c r="S94" s="2">
        <v>10.82245445</v>
      </c>
      <c r="T94" s="2">
        <v>0.69717485830000003</v>
      </c>
      <c r="U94" s="2">
        <v>88.222845579999998</v>
      </c>
      <c r="V94" s="2">
        <f>IFERROR(ROUND(U94,0),"null")</f>
        <v>88</v>
      </c>
      <c r="W94" s="2" t="str">
        <f>IF(AND(A94=A95,V94=100,V95=100),"full access","")</f>
        <v/>
      </c>
      <c r="X94" s="2">
        <f>IFERROR(IF(A95=A94,((U94-U95)/(C94-C95)),""),"null")</f>
        <v>0</v>
      </c>
      <c r="Y94" s="2">
        <v>9.1401884950000003</v>
      </c>
      <c r="Z94" s="2">
        <v>2.2967751299999999</v>
      </c>
      <c r="AA94" s="2">
        <v>0.34019079699999999</v>
      </c>
      <c r="AB94" s="2">
        <f>IFERROR(IF(A95=A94, Q94-X94, ""), "null")</f>
        <v>0</v>
      </c>
    </row>
    <row r="95" spans="1:28">
      <c r="A95" s="2" t="s">
        <v>88</v>
      </c>
      <c r="B95" s="2" t="str">
        <f>VLOOKUP(A95,Regions!A:B,2,0)</f>
        <v>Sub-Saharan Africa</v>
      </c>
      <c r="C95" s="2">
        <v>2019</v>
      </c>
      <c r="D95" s="2" t="str">
        <f>IF(A96=A95,ABS(C96-C95),"")</f>
        <v/>
      </c>
      <c r="E95" s="2" t="str">
        <f>IFERROR(IF(A96=A95,((H95-H96)/(C95-C96)), ""), "null")</f>
        <v/>
      </c>
      <c r="F95" s="2">
        <v>850.89099120000003</v>
      </c>
      <c r="G95" s="2">
        <v>29.164001460000001</v>
      </c>
      <c r="H95" s="2">
        <v>80.210497810000007</v>
      </c>
      <c r="I95" s="2">
        <f>IFERROR(ROUND(H95,0),"null")</f>
        <v>80</v>
      </c>
      <c r="J95" s="2" t="str">
        <f>IF(AND(A96=A95,I95=100,I96=100),"full access", " ")</f>
        <v xml:space="preserve"> </v>
      </c>
      <c r="K95" s="2">
        <v>10.86041131</v>
      </c>
      <c r="L95" s="2">
        <v>8.9290908879999993</v>
      </c>
      <c r="M95" s="2" t="s">
        <v>45</v>
      </c>
      <c r="N95" s="2">
        <v>76.911723449999997</v>
      </c>
      <c r="O95" s="2">
        <f>IFERROR(ROUND(N95,0),"null")</f>
        <v>77</v>
      </c>
      <c r="P95" s="2" t="str">
        <f>IF(AND(A95=A96,O95=100,O96=100),"full access"," ")</f>
        <v xml:space="preserve"> </v>
      </c>
      <c r="Q95" s="2" t="str">
        <f>IFERROR(IF(A96=A95,((N95-N96)/(C95-C96)),""),"null")</f>
        <v/>
      </c>
      <c r="R95" s="2">
        <v>11.568647240000001</v>
      </c>
      <c r="S95" s="2">
        <v>11.519629309999999</v>
      </c>
      <c r="T95" s="2" t="s">
        <v>45</v>
      </c>
      <c r="U95" s="2">
        <v>88.222845579999998</v>
      </c>
      <c r="V95" s="2">
        <f>IFERROR(ROUND(U95,0),"null")</f>
        <v>88</v>
      </c>
      <c r="W95" s="2" t="str">
        <f>IF(AND(A95=A96,V95=100,V96=100),"full access","")</f>
        <v/>
      </c>
      <c r="X95" s="2" t="str">
        <f>IFERROR(IF(A96=A95,((U95-U96)/(C95-C96)),""),"null")</f>
        <v/>
      </c>
      <c r="Y95" s="2">
        <v>9.1401884950000003</v>
      </c>
      <c r="Z95" s="2">
        <v>2.2967751299999999</v>
      </c>
      <c r="AA95" s="2">
        <v>0.34019079699999999</v>
      </c>
      <c r="AB95" s="2" t="str">
        <f>IFERROR(IF(A96=A95, Q95-X95, ""), "null")</f>
        <v/>
      </c>
    </row>
    <row r="96" spans="1:28">
      <c r="A96" s="2" t="s">
        <v>89</v>
      </c>
      <c r="B96" s="2" t="str">
        <f>VLOOKUP(A96,Regions!A:B,2,0)</f>
        <v>Sub-Saharan Africa</v>
      </c>
      <c r="C96" s="2">
        <v>2015</v>
      </c>
      <c r="D96" s="2">
        <f>IF(A97=A96,ABS(C97-C96),"")</f>
        <v>5</v>
      </c>
      <c r="E96" s="2">
        <f>IFERROR(IF(A97=A96,((H96-H97)/(C96-C97)), ""), "null")</f>
        <v>0.52698596200000059</v>
      </c>
      <c r="F96" s="2">
        <v>4856.0927730000003</v>
      </c>
      <c r="G96" s="2">
        <v>65.542999269999996</v>
      </c>
      <c r="H96" s="2">
        <v>71.149581769999998</v>
      </c>
      <c r="I96" s="2">
        <f>IFERROR(ROUND(H96,0),"null")</f>
        <v>71</v>
      </c>
      <c r="J96" s="2" t="str">
        <f>IF(AND(A97=A96,I96=100,I97=100),"full access", " ")</f>
        <v xml:space="preserve"> </v>
      </c>
      <c r="K96" s="2">
        <v>10.510526049999999</v>
      </c>
      <c r="L96" s="2">
        <v>11.662046309999999</v>
      </c>
      <c r="M96" s="2">
        <v>6.6778458760000001</v>
      </c>
      <c r="N96" s="2">
        <v>41.39183594</v>
      </c>
      <c r="O96" s="2">
        <f>IFERROR(ROUND(N96,0),"null")</f>
        <v>41</v>
      </c>
      <c r="P96" s="2" t="str">
        <f>IF(AND(A96=A97,O96=100,O97=100),"full access"," ")</f>
        <v xml:space="preserve"> </v>
      </c>
      <c r="Q96" s="2">
        <f>IFERROR(IF(A97=A96,((N96-N97)/(C96-C97)),""),"null")</f>
        <v>0.8665154479999998</v>
      </c>
      <c r="R96" s="2">
        <v>10.739572649999999</v>
      </c>
      <c r="S96" s="2">
        <v>28.501848710000001</v>
      </c>
      <c r="T96" s="2">
        <v>19.366742689999999</v>
      </c>
      <c r="U96" s="2">
        <v>86.793705160000002</v>
      </c>
      <c r="V96" s="2">
        <f>IFERROR(ROUND(U96,0),"null")</f>
        <v>87</v>
      </c>
      <c r="W96" s="2" t="str">
        <f>IF(AND(A96=A97,V96=100,V97=100),"full access","")</f>
        <v/>
      </c>
      <c r="X96" s="2">
        <f>IFERROR(IF(A97=A96,((U96-U97)/(C96-C97)),""),"null")</f>
        <v>5.9918199999998478E-2</v>
      </c>
      <c r="Y96" s="2">
        <v>10.390112999999999</v>
      </c>
      <c r="Z96" s="2">
        <v>2.809090742</v>
      </c>
      <c r="AA96" s="2">
        <v>7.0910958900000003E-3</v>
      </c>
      <c r="AB96" s="2">
        <f>IFERROR(IF(A97=A96, Q96-X96, ""), "null")</f>
        <v>0.80659724800000132</v>
      </c>
    </row>
    <row r="97" spans="1:28">
      <c r="A97" s="2" t="s">
        <v>89</v>
      </c>
      <c r="B97" s="2" t="str">
        <f>VLOOKUP(A97,Regions!A:B,2,0)</f>
        <v>Sub-Saharan Africa</v>
      </c>
      <c r="C97" s="2">
        <v>2020</v>
      </c>
      <c r="D97" s="2" t="str">
        <f>IF(A98=A97,ABS(C98-C97),"")</f>
        <v/>
      </c>
      <c r="E97" s="2" t="str">
        <f>IFERROR(IF(A98=A97,((H97-H98)/(C97-C98)), ""), "null")</f>
        <v/>
      </c>
      <c r="F97" s="2">
        <v>5518.091797</v>
      </c>
      <c r="G97" s="2">
        <v>67.829002380000006</v>
      </c>
      <c r="H97" s="2">
        <v>73.78451158</v>
      </c>
      <c r="I97" s="2">
        <f>IFERROR(ROUND(H97,0),"null")</f>
        <v>74</v>
      </c>
      <c r="J97" s="2" t="str">
        <f>IF(AND(A98=A97,I97=100,I98=100),"full access", " ")</f>
        <v xml:space="preserve"> </v>
      </c>
      <c r="K97" s="2">
        <v>10.46117203</v>
      </c>
      <c r="L97" s="2">
        <v>9.5591807220000007</v>
      </c>
      <c r="M97" s="2">
        <v>6.1951356640000004</v>
      </c>
      <c r="N97" s="2">
        <v>45.724413179999999</v>
      </c>
      <c r="O97" s="2">
        <f>IFERROR(ROUND(N97,0),"null")</f>
        <v>46</v>
      </c>
      <c r="P97" s="2" t="str">
        <f>IF(AND(A97=A98,O97=100,O98=100),"full access"," ")</f>
        <v xml:space="preserve"> </v>
      </c>
      <c r="Q97" s="2" t="str">
        <f>IFERROR(IF(A98=A97,((N97-N98)/(C97-C98)),""),"null")</f>
        <v/>
      </c>
      <c r="R97" s="2">
        <v>10.6323901</v>
      </c>
      <c r="S97" s="2">
        <v>24.405169730000001</v>
      </c>
      <c r="T97" s="2">
        <v>19.238026990000002</v>
      </c>
      <c r="U97" s="2">
        <v>87.093296159999994</v>
      </c>
      <c r="V97" s="2">
        <f>IFERROR(ROUND(U97,0),"null")</f>
        <v>87</v>
      </c>
      <c r="W97" s="2" t="str">
        <f>IF(AND(A97=A98,V97=100,V98=100),"full access","")</f>
        <v/>
      </c>
      <c r="X97" s="2" t="str">
        <f>IFERROR(IF(A98=A97,((U97-U98)/(C97-C98)),""),"null")</f>
        <v/>
      </c>
      <c r="Y97" s="2">
        <v>10.37996439</v>
      </c>
      <c r="Z97" s="2">
        <v>2.5177899969999999</v>
      </c>
      <c r="AA97" s="2">
        <v>8.9494520549999994E-3</v>
      </c>
      <c r="AB97" s="2" t="str">
        <f>IFERROR(IF(A98=A97, Q97-X97, ""), "null")</f>
        <v/>
      </c>
    </row>
    <row r="98" spans="1:28">
      <c r="A98" s="2" t="s">
        <v>90</v>
      </c>
      <c r="B98" s="2" t="str">
        <f>VLOOKUP(A98,Regions!A:B,2,0)</f>
        <v>East Asia &amp; Pacific</v>
      </c>
      <c r="C98" s="2">
        <v>2015</v>
      </c>
      <c r="D98" s="2">
        <f>IF(A99=A98,ABS(C99-C98),"")</f>
        <v>5</v>
      </c>
      <c r="E98" s="2">
        <f>IFERROR(IF(A99=A98,((H98-H99)/(C98-C99)), ""), "null")</f>
        <v>3.5878400000001419E-3</v>
      </c>
      <c r="F98" s="2">
        <v>17.580999370000001</v>
      </c>
      <c r="G98" s="2">
        <v>74.403999330000005</v>
      </c>
      <c r="H98" s="2">
        <v>99.953671020000002</v>
      </c>
      <c r="I98" s="2">
        <f>IFERROR(ROUND(H98,0),"null")</f>
        <v>100</v>
      </c>
      <c r="J98" s="2" t="str">
        <f>IF(AND(A99=A98,I98=100,I99=100),"full access", " ")</f>
        <v>full access</v>
      </c>
      <c r="K98" s="2">
        <v>0</v>
      </c>
      <c r="L98" s="2">
        <v>4.6328976289999997E-2</v>
      </c>
      <c r="M98" s="2">
        <v>0</v>
      </c>
      <c r="N98" s="2" t="s">
        <v>45</v>
      </c>
      <c r="O98" s="2" t="str">
        <f>IFERROR(ROUND(N98,0),"null")</f>
        <v>null</v>
      </c>
      <c r="P98" s="2" t="str">
        <f>IF(AND(A98=A99,O98=100,O99=100),"full access"," ")</f>
        <v xml:space="preserve"> </v>
      </c>
      <c r="Q98" s="2" t="str">
        <f>IFERROR(IF(A99=A98,((N98-N99)/(C98-C99)),""),"null")</f>
        <v>null</v>
      </c>
      <c r="R98" s="2" t="s">
        <v>45</v>
      </c>
      <c r="S98" s="2" t="s">
        <v>45</v>
      </c>
      <c r="T98" s="2" t="s">
        <v>45</v>
      </c>
      <c r="U98" s="2" t="s">
        <v>45</v>
      </c>
      <c r="V98" s="2" t="str">
        <f>IFERROR(ROUND(U98,0),"null")</f>
        <v>null</v>
      </c>
      <c r="W98" s="2" t="str">
        <f>IF(AND(A98=A99,V98=100,V99=100),"full access","")</f>
        <v/>
      </c>
      <c r="X98" s="2" t="str">
        <f>IFERROR(IF(A99=A98,((U98-U99)/(C98-C99)),""),"null")</f>
        <v>null</v>
      </c>
      <c r="Y98" s="2" t="s">
        <v>45</v>
      </c>
      <c r="Z98" s="2" t="s">
        <v>45</v>
      </c>
      <c r="AA98" s="2" t="s">
        <v>45</v>
      </c>
      <c r="AB98" s="2" t="str">
        <f>IFERROR(IF(A99=A98, Q98-X98, ""), "null")</f>
        <v>null</v>
      </c>
    </row>
    <row r="99" spans="1:28">
      <c r="A99" s="2" t="s">
        <v>90</v>
      </c>
      <c r="B99" s="2" t="str">
        <f>VLOOKUP(A99,Regions!A:B,2,0)</f>
        <v>East Asia &amp; Pacific</v>
      </c>
      <c r="C99" s="2">
        <v>2020</v>
      </c>
      <c r="D99" s="2" t="str">
        <f>IF(A100=A99,ABS(C100-C99),"")</f>
        <v/>
      </c>
      <c r="E99" s="2" t="str">
        <f>IFERROR(IF(A100=A99,((H99-H100)/(C99-C100)), ""), "null")</f>
        <v/>
      </c>
      <c r="F99" s="2">
        <v>17.56399918</v>
      </c>
      <c r="G99" s="2">
        <v>75.495002749999998</v>
      </c>
      <c r="H99" s="2">
        <v>99.971610220000002</v>
      </c>
      <c r="I99" s="2">
        <f>IFERROR(ROUND(H99,0),"null")</f>
        <v>100</v>
      </c>
      <c r="J99" s="2" t="str">
        <f>IF(AND(A100=A99,I99=100,I100=100),"full access", " ")</f>
        <v xml:space="preserve"> </v>
      </c>
      <c r="K99" s="2">
        <v>0</v>
      </c>
      <c r="L99" s="2">
        <v>2.8389782700000001E-2</v>
      </c>
      <c r="M99" s="2">
        <v>0</v>
      </c>
      <c r="N99" s="2" t="s">
        <v>45</v>
      </c>
      <c r="O99" s="2" t="str">
        <f>IFERROR(ROUND(N99,0),"null")</f>
        <v>null</v>
      </c>
      <c r="P99" s="2" t="str">
        <f>IF(AND(A99=A100,O99=100,O100=100),"full access"," ")</f>
        <v xml:space="preserve"> </v>
      </c>
      <c r="Q99" s="2" t="str">
        <f>IFERROR(IF(A100=A99,((N99-N100)/(C99-C100)),""),"null")</f>
        <v/>
      </c>
      <c r="R99" s="2" t="s">
        <v>45</v>
      </c>
      <c r="S99" s="2" t="s">
        <v>45</v>
      </c>
      <c r="T99" s="2" t="s">
        <v>45</v>
      </c>
      <c r="U99" s="2" t="s">
        <v>45</v>
      </c>
      <c r="V99" s="2" t="str">
        <f>IFERROR(ROUND(U99,0),"null")</f>
        <v>null</v>
      </c>
      <c r="W99" s="2" t="str">
        <f>IF(AND(A99=A100,V99=100,V100=100),"full access","")</f>
        <v/>
      </c>
      <c r="X99" s="2" t="str">
        <f>IFERROR(IF(A100=A99,((U99-U100)/(C99-C100)),""),"null")</f>
        <v/>
      </c>
      <c r="Y99" s="2" t="s">
        <v>45</v>
      </c>
      <c r="Z99" s="2" t="s">
        <v>45</v>
      </c>
      <c r="AA99" s="2" t="s">
        <v>45</v>
      </c>
      <c r="AB99" s="2" t="str">
        <f>IFERROR(IF(A100=A99, Q99-X99, ""), "null")</f>
        <v/>
      </c>
    </row>
    <row r="100" spans="1:28">
      <c r="A100" s="2" t="s">
        <v>91</v>
      </c>
      <c r="B100" s="2" t="str">
        <f>VLOOKUP(A100,Regions!A:B,2,0)</f>
        <v>Latin America &amp; Caribbean</v>
      </c>
      <c r="C100" s="2">
        <v>2015</v>
      </c>
      <c r="D100" s="2">
        <f>IF(A101=A100,ABS(C101-C100),"")</f>
        <v>5</v>
      </c>
      <c r="E100" s="2">
        <f>IFERROR(IF(A101=A100,((H100-H101)/(C100-C101)), ""), "null")</f>
        <v>8.6370021999999838E-2</v>
      </c>
      <c r="F100" s="2">
        <v>4847.8051759999998</v>
      </c>
      <c r="G100" s="2">
        <v>76.861999510000004</v>
      </c>
      <c r="H100" s="2">
        <v>99.378686819999999</v>
      </c>
      <c r="I100" s="2">
        <f>IFERROR(ROUND(H100,0),"null")</f>
        <v>99</v>
      </c>
      <c r="J100" s="2" t="str">
        <f>IF(AND(A101=A100,I100=100,I101=100),"full access", " ")</f>
        <v xml:space="preserve"> </v>
      </c>
      <c r="K100" s="2">
        <v>0.25413037840000002</v>
      </c>
      <c r="L100" s="2">
        <v>0.21133501860000001</v>
      </c>
      <c r="M100" s="2">
        <v>0.15584778429999999</v>
      </c>
      <c r="N100" s="2">
        <v>98.186032490000002</v>
      </c>
      <c r="O100" s="2">
        <f>IFERROR(ROUND(N100,0),"null")</f>
        <v>98</v>
      </c>
      <c r="P100" s="2" t="str">
        <f>IF(AND(A100=A101,O100=100,O101=100),"full access"," ")</f>
        <v xml:space="preserve"> </v>
      </c>
      <c r="Q100" s="2">
        <f>IFERROR(IF(A101=A100,((N100-N101)/(C100-C101)),""),"null")</f>
        <v>0.29204350199999851</v>
      </c>
      <c r="R100" s="2">
        <v>0.4100611535</v>
      </c>
      <c r="S100" s="2">
        <v>0.73034857679999998</v>
      </c>
      <c r="T100" s="2">
        <v>0.67355777780000003</v>
      </c>
      <c r="U100" s="2">
        <v>99.737715109999996</v>
      </c>
      <c r="V100" s="2">
        <f>IFERROR(ROUND(U100,0),"null")</f>
        <v>100</v>
      </c>
      <c r="W100" s="2" t="str">
        <f>IF(AND(A100=A101,V100=100,V101=100),"full access","")</f>
        <v>full access</v>
      </c>
      <c r="X100" s="2">
        <f>IFERROR(IF(A101=A100,((U100-U101)/(C100-C101)),""),"null")</f>
        <v>2.2387550000001966E-2</v>
      </c>
      <c r="Y100" s="2">
        <v>0.20719007179999999</v>
      </c>
      <c r="Z100" s="2">
        <v>5.5094818300000001E-2</v>
      </c>
      <c r="AA100" s="2">
        <v>0</v>
      </c>
      <c r="AB100" s="2">
        <f>IFERROR(IF(A101=A100, Q100-X100, ""), "null")</f>
        <v>0.26965595199999653</v>
      </c>
    </row>
    <row r="101" spans="1:28">
      <c r="A101" s="2" t="s">
        <v>91</v>
      </c>
      <c r="B101" s="2" t="str">
        <f>VLOOKUP(A101,Regions!A:B,2,0)</f>
        <v>Latin America &amp; Caribbean</v>
      </c>
      <c r="C101" s="2">
        <v>2020</v>
      </c>
      <c r="D101" s="2" t="str">
        <f>IF(A102=A101,ABS(C102-C101),"")</f>
        <v/>
      </c>
      <c r="E101" s="2" t="str">
        <f>IFERROR(IF(A102=A101,((H101-H102)/(C101-C102)), ""), "null")</f>
        <v/>
      </c>
      <c r="F101" s="2">
        <v>5094.1137699999999</v>
      </c>
      <c r="G101" s="2">
        <v>80.770996089999997</v>
      </c>
      <c r="H101" s="2">
        <v>99.810536929999998</v>
      </c>
      <c r="I101" s="2">
        <f>IFERROR(ROUND(H101,0),"null")</f>
        <v>100</v>
      </c>
      <c r="J101" s="2" t="str">
        <f>IF(AND(A102=A101,I101=100,I102=100),"full access", " ")</f>
        <v xml:space="preserve"> </v>
      </c>
      <c r="K101" s="2">
        <v>0.18945947460000001</v>
      </c>
      <c r="L101" s="2">
        <v>3.5944518969999999E-6</v>
      </c>
      <c r="M101" s="2">
        <v>0</v>
      </c>
      <c r="N101" s="2">
        <v>99.646249999999995</v>
      </c>
      <c r="O101" s="2">
        <f>IFERROR(ROUND(N101,0),"null")</f>
        <v>100</v>
      </c>
      <c r="P101" s="2" t="str">
        <f>IF(AND(A101=A102,O101=100,O102=100),"full access"," ")</f>
        <v xml:space="preserve"> </v>
      </c>
      <c r="Q101" s="2" t="str">
        <f>IFERROR(IF(A102=A101,((N101-N102)/(C101-C102)),""),"null")</f>
        <v/>
      </c>
      <c r="R101" s="2">
        <v>0.35375000000000001</v>
      </c>
      <c r="S101" s="2">
        <v>0</v>
      </c>
      <c r="T101" s="2">
        <v>0</v>
      </c>
      <c r="U101" s="2">
        <v>99.849652860000006</v>
      </c>
      <c r="V101" s="2">
        <f>IFERROR(ROUND(U101,0),"null")</f>
        <v>100</v>
      </c>
      <c r="W101" s="2" t="str">
        <f>IF(AND(A101=A102,V101=100,V102=100),"full access","")</f>
        <v/>
      </c>
      <c r="X101" s="2" t="str">
        <f>IFERROR(IF(A102=A101,((U101-U102)/(C101-C102)),""),"null")</f>
        <v/>
      </c>
      <c r="Y101" s="2">
        <v>0.15034714290000001</v>
      </c>
      <c r="Z101" s="2">
        <v>0</v>
      </c>
      <c r="AA101" s="2">
        <v>0</v>
      </c>
      <c r="AB101" s="2" t="str">
        <f>IFERROR(IF(A102=A101, Q101-X101, ""), "null")</f>
        <v/>
      </c>
    </row>
    <row r="102" spans="1:28">
      <c r="A102" s="2" t="s">
        <v>92</v>
      </c>
      <c r="B102" s="2" t="str">
        <f>VLOOKUP(A102,Regions!A:B,2,0)</f>
        <v>Sub-Saharan Africa</v>
      </c>
      <c r="C102" s="2">
        <v>2015</v>
      </c>
      <c r="D102" s="2">
        <f>IF(A103=A102,ABS(C103-C102),"")</f>
        <v>5</v>
      </c>
      <c r="E102" s="2">
        <f>IFERROR(IF(A103=A102,((H102-H103)/(C102-C103)), ""), "null")</f>
        <v>-3.333930200000168E-2</v>
      </c>
      <c r="F102" s="2">
        <v>23226.148440000001</v>
      </c>
      <c r="G102" s="2">
        <v>49.444000240000001</v>
      </c>
      <c r="H102" s="2">
        <v>71.075766900000005</v>
      </c>
      <c r="I102" s="2">
        <f>IFERROR(ROUND(H102,0),"null")</f>
        <v>71</v>
      </c>
      <c r="J102" s="2" t="str">
        <f>IF(AND(A103=A102,I102=100,I103=100),"full access", " ")</f>
        <v xml:space="preserve"> </v>
      </c>
      <c r="K102" s="2">
        <v>8.7671364589999996</v>
      </c>
      <c r="L102" s="2">
        <v>14.417680539999999</v>
      </c>
      <c r="M102" s="2">
        <v>5.7394160950000002</v>
      </c>
      <c r="N102" s="2">
        <v>55.843171720000001</v>
      </c>
      <c r="O102" s="2">
        <f>IFERROR(ROUND(N102,0),"null")</f>
        <v>56</v>
      </c>
      <c r="P102" s="2" t="str">
        <f>IF(AND(A102=A103,O102=100,O103=100),"full access"," ")</f>
        <v xml:space="preserve"> </v>
      </c>
      <c r="Q102" s="2">
        <f>IFERROR(IF(A103=A102,((N102-N103)/(C102-C103)),""),"null")</f>
        <v>-2.4144972000000563E-2</v>
      </c>
      <c r="R102" s="2">
        <v>13.188467299999999</v>
      </c>
      <c r="S102" s="2">
        <v>22.631284709999999</v>
      </c>
      <c r="T102" s="2">
        <v>8.3370762729999992</v>
      </c>
      <c r="U102" s="2">
        <v>86.650945350000001</v>
      </c>
      <c r="V102" s="2">
        <f>IFERROR(ROUND(U102,0),"null")</f>
        <v>87</v>
      </c>
      <c r="W102" s="2" t="str">
        <f>IF(AND(A102=A103,V102=100,V103=100),"full access","")</f>
        <v/>
      </c>
      <c r="X102" s="2">
        <f>IFERROR(IF(A103=A102,((U102-U103)/(C102-C103)),""),"null")</f>
        <v>-0.31147841199999959</v>
      </c>
      <c r="Y102" s="2">
        <v>4.2463692540000002</v>
      </c>
      <c r="Z102" s="2">
        <v>6.0193512360000003</v>
      </c>
      <c r="AA102" s="2">
        <v>3.083334164</v>
      </c>
      <c r="AB102" s="2">
        <f>IFERROR(IF(A103=A102, Q102-X102, ""), "null")</f>
        <v>0.28733343999999905</v>
      </c>
    </row>
    <row r="103" spans="1:28">
      <c r="A103" s="2" t="s">
        <v>92</v>
      </c>
      <c r="B103" s="2" t="str">
        <f>VLOOKUP(A103,Regions!A:B,2,0)</f>
        <v>Sub-Saharan Africa</v>
      </c>
      <c r="C103" s="2">
        <v>2020</v>
      </c>
      <c r="D103" s="2" t="str">
        <f>IF(A104=A103,ABS(C104-C103),"")</f>
        <v/>
      </c>
      <c r="E103" s="2" t="str">
        <f>IFERROR(IF(A104=A103,((H103-H104)/(C103-C104)), ""), "null")</f>
        <v/>
      </c>
      <c r="F103" s="2">
        <v>26378.275389999999</v>
      </c>
      <c r="G103" s="2">
        <v>51.70599747</v>
      </c>
      <c r="H103" s="2">
        <v>70.909070389999997</v>
      </c>
      <c r="I103" s="2">
        <f>IFERROR(ROUND(H103,0),"null")</f>
        <v>71</v>
      </c>
      <c r="J103" s="2" t="str">
        <f>IF(AND(A104=A103,I103=100,I104=100),"full access", " ")</f>
        <v xml:space="preserve"> </v>
      </c>
      <c r="K103" s="2">
        <v>8.9354217019999993</v>
      </c>
      <c r="L103" s="2">
        <v>14.192441609999999</v>
      </c>
      <c r="M103" s="2">
        <v>5.9630662929999998</v>
      </c>
      <c r="N103" s="2">
        <v>55.722446859999998</v>
      </c>
      <c r="O103" s="2">
        <f>IFERROR(ROUND(N103,0),"null")</f>
        <v>56</v>
      </c>
      <c r="P103" s="2" t="str">
        <f>IF(AND(A103=A104,O103=100,O104=100),"full access"," ")</f>
        <v xml:space="preserve"> </v>
      </c>
      <c r="Q103" s="2" t="str">
        <f>IFERROR(IF(A104=A103,((N103-N104)/(C103-C104)),""),"null")</f>
        <v/>
      </c>
      <c r="R103" s="2">
        <v>13.343168289999999</v>
      </c>
      <c r="S103" s="2">
        <v>23.17527956</v>
      </c>
      <c r="T103" s="2">
        <v>7.7591052889999998</v>
      </c>
      <c r="U103" s="2">
        <v>85.093553290000003</v>
      </c>
      <c r="V103" s="2">
        <f>IFERROR(ROUND(U103,0),"null")</f>
        <v>85</v>
      </c>
      <c r="W103" s="2" t="str">
        <f>IF(AND(A103=A104,V103=100,V104=100),"full access","")</f>
        <v/>
      </c>
      <c r="X103" s="2" t="str">
        <f>IFERROR(IF(A104=A103,((U103-U104)/(C103-C104)),""),"null")</f>
        <v/>
      </c>
      <c r="Y103" s="2">
        <v>4.8185351560000003</v>
      </c>
      <c r="Z103" s="2">
        <v>5.8023665600000003</v>
      </c>
      <c r="AA103" s="2">
        <v>4.2855449940000003</v>
      </c>
      <c r="AB103" s="2" t="str">
        <f>IFERROR(IF(A104=A103, Q103-X103, ""), "null")</f>
        <v/>
      </c>
    </row>
    <row r="104" spans="1:28">
      <c r="A104" s="2" t="s">
        <v>93</v>
      </c>
      <c r="B104" s="2" t="str">
        <f>VLOOKUP(A104,Regions!A:B,2,0)</f>
        <v>Europe &amp; Central Asia</v>
      </c>
      <c r="C104" s="2">
        <v>2015</v>
      </c>
      <c r="D104" s="2">
        <f>IF(A105=A104,ABS(C105-C104),"")</f>
        <v>5</v>
      </c>
      <c r="E104" s="2" t="str">
        <f>IFERROR(IF(A105=A104,((H104-H105)/(C104-C105)), ""), "null")</f>
        <v>null</v>
      </c>
      <c r="F104" s="2">
        <v>4232.8740230000003</v>
      </c>
      <c r="G104" s="2">
        <v>56.155002590000002</v>
      </c>
      <c r="H104" s="2" t="s">
        <v>45</v>
      </c>
      <c r="I104" s="2" t="str">
        <f>IFERROR(ROUND(H104,0),"null")</f>
        <v>null</v>
      </c>
      <c r="J104" s="2" t="str">
        <f>IF(AND(A105=A104,I104=100,I105=100),"full access", " ")</f>
        <v xml:space="preserve"> </v>
      </c>
      <c r="K104" s="2" t="s">
        <v>45</v>
      </c>
      <c r="L104" s="2" t="s">
        <v>45</v>
      </c>
      <c r="M104" s="2" t="s">
        <v>45</v>
      </c>
      <c r="N104" s="2" t="s">
        <v>45</v>
      </c>
      <c r="O104" s="2" t="str">
        <f>IFERROR(ROUND(N104,0),"null")</f>
        <v>null</v>
      </c>
      <c r="P104" s="2" t="str">
        <f>IF(AND(A104=A105,O104=100,O105=100),"full access"," ")</f>
        <v xml:space="preserve"> </v>
      </c>
      <c r="Q104" s="2" t="str">
        <f>IFERROR(IF(A105=A104,((N104-N105)/(C104-C105)),""),"null")</f>
        <v>null</v>
      </c>
      <c r="R104" s="2" t="s">
        <v>45</v>
      </c>
      <c r="S104" s="2" t="s">
        <v>45</v>
      </c>
      <c r="T104" s="2" t="s">
        <v>45</v>
      </c>
      <c r="U104" s="2">
        <v>100</v>
      </c>
      <c r="V104" s="2">
        <f>IFERROR(ROUND(U104,0),"null")</f>
        <v>100</v>
      </c>
      <c r="W104" s="2" t="str">
        <f>IF(AND(A104=A105,V104=100,V105=100),"full access","")</f>
        <v>full access</v>
      </c>
      <c r="X104" s="2">
        <f>IFERROR(IF(A105=A104,((U104-U105)/(C104-C105)),""),"null")</f>
        <v>0</v>
      </c>
      <c r="Y104" s="2">
        <v>0</v>
      </c>
      <c r="Z104" s="2">
        <v>0</v>
      </c>
      <c r="AA104" s="2">
        <v>0</v>
      </c>
      <c r="AB104" s="2" t="str">
        <f>IFERROR(IF(A105=A104, Q104-X104, ""), "null")</f>
        <v>null</v>
      </c>
    </row>
    <row r="105" spans="1:28">
      <c r="A105" s="2" t="s">
        <v>93</v>
      </c>
      <c r="B105" s="2" t="str">
        <f>VLOOKUP(A105,Regions!A:B,2,0)</f>
        <v>Europe &amp; Central Asia</v>
      </c>
      <c r="C105" s="2">
        <v>2020</v>
      </c>
      <c r="D105" s="2" t="str">
        <f>IF(A106=A105,ABS(C106-C105),"")</f>
        <v/>
      </c>
      <c r="E105" s="2" t="str">
        <f>IFERROR(IF(A106=A105,((H105-H106)/(C105-C106)), ""), "null")</f>
        <v/>
      </c>
      <c r="F105" s="2">
        <v>4105.2680659999996</v>
      </c>
      <c r="G105" s="2">
        <v>57.552997589999997</v>
      </c>
      <c r="H105" s="2" t="s">
        <v>45</v>
      </c>
      <c r="I105" s="2" t="str">
        <f>IFERROR(ROUND(H105,0),"null")</f>
        <v>null</v>
      </c>
      <c r="J105" s="2" t="str">
        <f>IF(AND(A106=A105,I105=100,I106=100),"full access", " ")</f>
        <v xml:space="preserve"> </v>
      </c>
      <c r="K105" s="2" t="s">
        <v>45</v>
      </c>
      <c r="L105" s="2" t="s">
        <v>45</v>
      </c>
      <c r="M105" s="2" t="s">
        <v>45</v>
      </c>
      <c r="N105" s="2" t="s">
        <v>45</v>
      </c>
      <c r="O105" s="2" t="str">
        <f>IFERROR(ROUND(N105,0),"null")</f>
        <v>null</v>
      </c>
      <c r="P105" s="2" t="str">
        <f>IF(AND(A105=A106,O105=100,O106=100),"full access"," ")</f>
        <v xml:space="preserve"> </v>
      </c>
      <c r="Q105" s="2" t="str">
        <f>IFERROR(IF(A106=A105,((N105-N106)/(C105-C106)),""),"null")</f>
        <v/>
      </c>
      <c r="R105" s="2" t="s">
        <v>45</v>
      </c>
      <c r="S105" s="2" t="s">
        <v>45</v>
      </c>
      <c r="T105" s="2" t="s">
        <v>45</v>
      </c>
      <c r="U105" s="2">
        <v>100</v>
      </c>
      <c r="V105" s="2">
        <f>IFERROR(ROUND(U105,0),"null")</f>
        <v>100</v>
      </c>
      <c r="W105" s="2" t="str">
        <f>IF(AND(A105=A106,V105=100,V106=100),"full access","")</f>
        <v/>
      </c>
      <c r="X105" s="2" t="str">
        <f>IFERROR(IF(A106=A105,((U105-U106)/(C105-C106)),""),"null")</f>
        <v/>
      </c>
      <c r="Y105" s="2">
        <v>0</v>
      </c>
      <c r="Z105" s="2">
        <v>0</v>
      </c>
      <c r="AA105" s="2">
        <v>0</v>
      </c>
      <c r="AB105" s="2" t="str">
        <f>IFERROR(IF(A106=A105, Q105-X105, ""), "null")</f>
        <v/>
      </c>
    </row>
    <row r="106" spans="1:28">
      <c r="A106" s="2" t="s">
        <v>94</v>
      </c>
      <c r="B106" s="2" t="str">
        <f>VLOOKUP(A106,Regions!A:B,2,0)</f>
        <v>Latin America &amp; Caribbean</v>
      </c>
      <c r="C106" s="2">
        <v>2015</v>
      </c>
      <c r="D106" s="2">
        <f>IF(A107=A106,ABS(C107-C106),"")</f>
        <v>5</v>
      </c>
      <c r="E106" s="2">
        <f>IFERROR(IF(A107=A106,((H106-H107)/(C106-C107)), ""), "null")</f>
        <v>0.22617993799999853</v>
      </c>
      <c r="F106" s="2">
        <v>11324.777340000001</v>
      </c>
      <c r="G106" s="2">
        <v>76.896003719999996</v>
      </c>
      <c r="H106" s="2">
        <v>95.871796470000007</v>
      </c>
      <c r="I106" s="2">
        <f>IFERROR(ROUND(H106,0),"null")</f>
        <v>96</v>
      </c>
      <c r="J106" s="2" t="str">
        <f>IF(AND(A107=A106,I106=100,I107=100),"full access", " ")</f>
        <v xml:space="preserve"> </v>
      </c>
      <c r="K106" s="2">
        <v>1.7502537890000001</v>
      </c>
      <c r="L106" s="2">
        <v>1.99464</v>
      </c>
      <c r="M106" s="2">
        <v>0.38330973619999997</v>
      </c>
      <c r="N106" s="2">
        <v>90.445060659999996</v>
      </c>
      <c r="O106" s="2">
        <f>IFERROR(ROUND(N106,0),"null")</f>
        <v>90</v>
      </c>
      <c r="P106" s="2" t="str">
        <f>IF(AND(A106=A107,O106=100,O107=100),"full access"," ")</f>
        <v xml:space="preserve"> </v>
      </c>
      <c r="Q106" s="2">
        <f>IFERROR(IF(A107=A106,((N106-N107)/(C106-C107)),""),"null")</f>
        <v>0.78831809600000047</v>
      </c>
      <c r="R106" s="2">
        <v>3.3621971309999998</v>
      </c>
      <c r="S106" s="2">
        <v>4.747322467</v>
      </c>
      <c r="T106" s="2">
        <v>1.445419738</v>
      </c>
      <c r="U106" s="2">
        <v>97.502301369999998</v>
      </c>
      <c r="V106" s="2">
        <f>IFERROR(ROUND(U106,0),"null")</f>
        <v>98</v>
      </c>
      <c r="W106" s="2" t="str">
        <f>IF(AND(A106=A107,V106=100,V107=100),"full access","")</f>
        <v/>
      </c>
      <c r="X106" s="2">
        <f>IFERROR(IF(A107=A106,((U106-U107)/(C106-C107)),""),"null")</f>
        <v>5.4655053999999835E-2</v>
      </c>
      <c r="Y106" s="2">
        <v>1.2659328999999999</v>
      </c>
      <c r="Z106" s="2">
        <v>1.167575187</v>
      </c>
      <c r="AA106" s="2">
        <v>6.4190542059999994E-2</v>
      </c>
      <c r="AB106" s="2">
        <f>IFERROR(IF(A107=A106, Q106-X106, ""), "null")</f>
        <v>0.73366304200000065</v>
      </c>
    </row>
    <row r="107" spans="1:28">
      <c r="A107" s="2" t="s">
        <v>94</v>
      </c>
      <c r="B107" s="2" t="str">
        <f>VLOOKUP(A107,Regions!A:B,2,0)</f>
        <v>Latin America &amp; Caribbean</v>
      </c>
      <c r="C107" s="2">
        <v>2020</v>
      </c>
      <c r="D107" s="2" t="str">
        <f>IF(A108=A107,ABS(C108-C107),"")</f>
        <v/>
      </c>
      <c r="E107" s="2" t="str">
        <f>IFERROR(IF(A108=A107,((H107-H108)/(C107-C108)), ""), "null")</f>
        <v/>
      </c>
      <c r="F107" s="2">
        <v>11326.61621</v>
      </c>
      <c r="G107" s="2">
        <v>77.194000239999994</v>
      </c>
      <c r="H107" s="2">
        <v>97.002696159999999</v>
      </c>
      <c r="I107" s="2">
        <f>IFERROR(ROUND(H107,0),"null")</f>
        <v>97</v>
      </c>
      <c r="J107" s="2" t="str">
        <f>IF(AND(A108=A107,I107=100,I108=100),"full access", " ")</f>
        <v xml:space="preserve"> </v>
      </c>
      <c r="K107" s="2">
        <v>1.471384542</v>
      </c>
      <c r="L107" s="2">
        <v>1.252811506</v>
      </c>
      <c r="M107" s="2">
        <v>0.27310779629999998</v>
      </c>
      <c r="N107" s="2">
        <v>94.386651139999998</v>
      </c>
      <c r="O107" s="2">
        <f>IFERROR(ROUND(N107,0),"null")</f>
        <v>94</v>
      </c>
      <c r="P107" s="2" t="str">
        <f>IF(AND(A107=A108,O107=100,O108=100),"full access"," ")</f>
        <v xml:space="preserve"> </v>
      </c>
      <c r="Q107" s="2" t="str">
        <f>IFERROR(IF(A108=A107,((N107-N108)/(C107-C108)),""),"null")</f>
        <v/>
      </c>
      <c r="R107" s="2">
        <v>2.591752445</v>
      </c>
      <c r="S107" s="2">
        <v>1.9059729350000001</v>
      </c>
      <c r="T107" s="2">
        <v>1.115623477</v>
      </c>
      <c r="U107" s="2">
        <v>97.775576639999997</v>
      </c>
      <c r="V107" s="2">
        <f>IFERROR(ROUND(U107,0),"null")</f>
        <v>98</v>
      </c>
      <c r="W107" s="2" t="str">
        <f>IF(AND(A107=A108,V107=100,V108=100),"full access","")</f>
        <v/>
      </c>
      <c r="X107" s="2" t="str">
        <f>IFERROR(IF(A108=A107,((U107-U108)/(C107-C108)),""),"null")</f>
        <v/>
      </c>
      <c r="Y107" s="2">
        <v>1.1403859000000001</v>
      </c>
      <c r="Z107" s="2">
        <v>1.059840374</v>
      </c>
      <c r="AA107" s="2">
        <v>2.4197084109999999E-2</v>
      </c>
      <c r="AB107" s="2" t="str">
        <f>IFERROR(IF(A108=A107, Q107-X107, ""), "null")</f>
        <v/>
      </c>
    </row>
    <row r="108" spans="1:28">
      <c r="A108" s="2" t="s">
        <v>95</v>
      </c>
      <c r="B108" s="2" t="str">
        <f>VLOOKUP(A108,Regions!A:B,2,0)</f>
        <v>Latin America &amp; Caribbean</v>
      </c>
      <c r="C108" s="2">
        <v>2015</v>
      </c>
      <c r="D108" s="2">
        <f>IF(A109=A108,ABS(C109-C108),"")</f>
        <v>2</v>
      </c>
      <c r="E108" s="2">
        <f>IFERROR(IF(A109=A108,((H108-H109)/(C108-C109)), ""), "null")</f>
        <v>0</v>
      </c>
      <c r="F108" s="2">
        <v>159.8500061</v>
      </c>
      <c r="G108" s="2">
        <v>89.35199738</v>
      </c>
      <c r="H108" s="2">
        <v>99.49775185</v>
      </c>
      <c r="I108" s="2">
        <f>IFERROR(ROUND(H108,0),"null")</f>
        <v>99</v>
      </c>
      <c r="J108" s="2" t="str">
        <f>IF(AND(A109=A108,I108=100,I109=100),"full access", " ")</f>
        <v xml:space="preserve"> </v>
      </c>
      <c r="K108" s="2">
        <v>0</v>
      </c>
      <c r="L108" s="2">
        <v>0.50224815249999999</v>
      </c>
      <c r="M108" s="2">
        <v>0</v>
      </c>
      <c r="N108" s="2" t="s">
        <v>45</v>
      </c>
      <c r="O108" s="2" t="str">
        <f>IFERROR(ROUND(N108,0),"null")</f>
        <v>null</v>
      </c>
      <c r="P108" s="2" t="str">
        <f>IF(AND(A108=A109,O108=100,O109=100),"full access"," ")</f>
        <v xml:space="preserve"> </v>
      </c>
      <c r="Q108" s="2" t="str">
        <f>IFERROR(IF(A109=A108,((N108-N109)/(C108-C109)),""),"null")</f>
        <v>null</v>
      </c>
      <c r="R108" s="2" t="s">
        <v>45</v>
      </c>
      <c r="S108" s="2" t="s">
        <v>45</v>
      </c>
      <c r="T108" s="2" t="s">
        <v>45</v>
      </c>
      <c r="U108" s="2" t="s">
        <v>45</v>
      </c>
      <c r="V108" s="2" t="str">
        <f>IFERROR(ROUND(U108,0),"null")</f>
        <v>null</v>
      </c>
      <c r="W108" s="2" t="str">
        <f>IF(AND(A108=A109,V108=100,V109=100),"full access","")</f>
        <v/>
      </c>
      <c r="X108" s="2" t="str">
        <f>IFERROR(IF(A109=A108,((U108-U109)/(C108-C109)),""),"null")</f>
        <v>null</v>
      </c>
      <c r="Y108" s="2" t="s">
        <v>45</v>
      </c>
      <c r="Z108" s="2" t="s">
        <v>45</v>
      </c>
      <c r="AA108" s="2" t="s">
        <v>45</v>
      </c>
      <c r="AB108" s="2" t="str">
        <f>IFERROR(IF(A109=A108, Q108-X108, ""), "null")</f>
        <v>null</v>
      </c>
    </row>
    <row r="109" spans="1:28">
      <c r="A109" s="2" t="s">
        <v>95</v>
      </c>
      <c r="B109" s="2" t="str">
        <f>VLOOKUP(A109,Regions!A:B,2,0)</f>
        <v>Latin America &amp; Caribbean</v>
      </c>
      <c r="C109" s="2">
        <v>2017</v>
      </c>
      <c r="D109" s="2" t="str">
        <f>IF(A110=A109,ABS(C110-C109),"")</f>
        <v/>
      </c>
      <c r="E109" s="2" t="str">
        <f>IFERROR(IF(A110=A109,((H109-H110)/(C109-C110)), ""), "null")</f>
        <v/>
      </c>
      <c r="F109" s="2">
        <v>161.98599239999999</v>
      </c>
      <c r="G109" s="2">
        <v>89.203002929999997</v>
      </c>
      <c r="H109" s="2">
        <v>99.49775185</v>
      </c>
      <c r="I109" s="2">
        <f>IFERROR(ROUND(H109,0),"null")</f>
        <v>99</v>
      </c>
      <c r="J109" s="2" t="str">
        <f>IF(AND(A110=A109,I109=100,I110=100),"full access", " ")</f>
        <v xml:space="preserve"> </v>
      </c>
      <c r="K109" s="2">
        <v>0</v>
      </c>
      <c r="L109" s="2">
        <v>0.50224815249999999</v>
      </c>
      <c r="M109" s="2">
        <v>0</v>
      </c>
      <c r="N109" s="2" t="s">
        <v>45</v>
      </c>
      <c r="O109" s="2" t="str">
        <f>IFERROR(ROUND(N109,0),"null")</f>
        <v>null</v>
      </c>
      <c r="P109" s="2" t="str">
        <f>IF(AND(A109=A110,O109=100,O110=100),"full access"," ")</f>
        <v xml:space="preserve"> </v>
      </c>
      <c r="Q109" s="2" t="str">
        <f>IFERROR(IF(A110=A109,((N109-N110)/(C109-C110)),""),"null")</f>
        <v/>
      </c>
      <c r="R109" s="2" t="s">
        <v>45</v>
      </c>
      <c r="S109" s="2" t="s">
        <v>45</v>
      </c>
      <c r="T109" s="2" t="s">
        <v>45</v>
      </c>
      <c r="U109" s="2" t="s">
        <v>45</v>
      </c>
      <c r="V109" s="2" t="str">
        <f>IFERROR(ROUND(U109,0),"null")</f>
        <v>null</v>
      </c>
      <c r="W109" s="2" t="str">
        <f>IF(AND(A109=A110,V109=100,V110=100),"full access","")</f>
        <v/>
      </c>
      <c r="X109" s="2" t="str">
        <f>IFERROR(IF(A110=A109,((U109-U110)/(C109-C110)),""),"null")</f>
        <v/>
      </c>
      <c r="Y109" s="2" t="s">
        <v>45</v>
      </c>
      <c r="Z109" s="2" t="s">
        <v>45</v>
      </c>
      <c r="AA109" s="2" t="s">
        <v>45</v>
      </c>
      <c r="AB109" s="2" t="str">
        <f>IFERROR(IF(A110=A109, Q109-X109, ""), "null")</f>
        <v/>
      </c>
    </row>
    <row r="110" spans="1:28">
      <c r="A110" s="2" t="s">
        <v>96</v>
      </c>
      <c r="B110" s="2" t="str">
        <f>VLOOKUP(A110,Regions!A:B,2,0)</f>
        <v>Europe &amp; Central Asia</v>
      </c>
      <c r="C110" s="2">
        <v>2015</v>
      </c>
      <c r="D110" s="2">
        <f>IF(A111=A110,ABS(C111-C110),"")</f>
        <v>5</v>
      </c>
      <c r="E110" s="2">
        <f>IFERROR(IF(A111=A110,((H110-H111)/(C110-C111)), ""), "null")</f>
        <v>-4.668877999998244E-3</v>
      </c>
      <c r="F110" s="2">
        <v>1160.987061</v>
      </c>
      <c r="G110" s="2">
        <v>66.945999150000006</v>
      </c>
      <c r="H110" s="2">
        <v>99.788517569999996</v>
      </c>
      <c r="I110" s="2">
        <f>IFERROR(ROUND(H110,0),"null")</f>
        <v>100</v>
      </c>
      <c r="J110" s="2" t="str">
        <f>IF(AND(A111=A110,I110=100,I111=100),"full access", " ")</f>
        <v>full access</v>
      </c>
      <c r="K110" s="2">
        <v>0</v>
      </c>
      <c r="L110" s="2">
        <v>0.21148243489999999</v>
      </c>
      <c r="M110" s="2">
        <v>0</v>
      </c>
      <c r="N110" s="2">
        <v>99.861185539999994</v>
      </c>
      <c r="O110" s="2">
        <f>IFERROR(ROUND(N110,0),"null")</f>
        <v>100</v>
      </c>
      <c r="P110" s="2" t="str">
        <f>IF(AND(A110=A111,O110=100,O111=100),"full access"," ")</f>
        <v>full access</v>
      </c>
      <c r="Q110" s="2">
        <f>IFERROR(IF(A111=A110,((N110-N111)/(C110-C111)),""),"null")</f>
        <v>-3.0847639999990405E-3</v>
      </c>
      <c r="R110" s="2">
        <v>0</v>
      </c>
      <c r="S110" s="2">
        <v>0.1388144553</v>
      </c>
      <c r="T110" s="2">
        <v>0</v>
      </c>
      <c r="U110" s="2">
        <v>99.752642309999999</v>
      </c>
      <c r="V110" s="2">
        <f>IFERROR(ROUND(U110,0),"null")</f>
        <v>100</v>
      </c>
      <c r="W110" s="2" t="str">
        <f>IF(AND(A110=A111,V110=100,V111=100),"full access","")</f>
        <v>full access</v>
      </c>
      <c r="X110" s="2">
        <f>IFERROR(IF(A111=A110,((U110-U111)/(C110-C111)),""),"null")</f>
        <v>-5.4968379999991157E-3</v>
      </c>
      <c r="Y110" s="2">
        <v>0</v>
      </c>
      <c r="Z110" s="2">
        <v>0.24735769429999999</v>
      </c>
      <c r="AA110" s="2">
        <v>0</v>
      </c>
      <c r="AB110" s="2">
        <f>IFERROR(IF(A111=A110, Q110-X110, ""), "null")</f>
        <v>2.4120740000000752E-3</v>
      </c>
    </row>
    <row r="111" spans="1:28">
      <c r="A111" s="2" t="s">
        <v>96</v>
      </c>
      <c r="B111" s="2" t="str">
        <f>VLOOKUP(A111,Regions!A:B,2,0)</f>
        <v>Europe &amp; Central Asia</v>
      </c>
      <c r="C111" s="2">
        <v>2020</v>
      </c>
      <c r="D111" s="2" t="str">
        <f>IF(A112=A111,ABS(C112-C111),"")</f>
        <v/>
      </c>
      <c r="E111" s="2" t="str">
        <f>IFERROR(IF(A112=A111,((H111-H112)/(C111-C112)), ""), "null")</f>
        <v/>
      </c>
      <c r="F111" s="2">
        <v>1207.360962</v>
      </c>
      <c r="G111" s="2">
        <v>66.820999150000006</v>
      </c>
      <c r="H111" s="2">
        <v>99.765173180000005</v>
      </c>
      <c r="I111" s="2">
        <f>IFERROR(ROUND(H111,0),"null")</f>
        <v>100</v>
      </c>
      <c r="J111" s="2" t="str">
        <f>IF(AND(A112=A111,I111=100,I112=100),"full access", " ")</f>
        <v xml:space="preserve"> </v>
      </c>
      <c r="K111" s="2">
        <v>0</v>
      </c>
      <c r="L111" s="2">
        <v>0.2348268167</v>
      </c>
      <c r="M111" s="2">
        <v>0</v>
      </c>
      <c r="N111" s="2">
        <v>99.845761719999999</v>
      </c>
      <c r="O111" s="2">
        <f>IFERROR(ROUND(N111,0),"null")</f>
        <v>100</v>
      </c>
      <c r="P111" s="2" t="str">
        <f>IF(AND(A111=A112,O111=100,O112=100),"full access"," ")</f>
        <v xml:space="preserve"> </v>
      </c>
      <c r="Q111" s="2" t="str">
        <f>IFERROR(IF(A112=A111,((N111-N112)/(C111-C112)),""),"null")</f>
        <v/>
      </c>
      <c r="R111" s="2">
        <v>0</v>
      </c>
      <c r="S111" s="2">
        <v>0.1542382836</v>
      </c>
      <c r="T111" s="2">
        <v>0</v>
      </c>
      <c r="U111" s="2">
        <v>99.725158120000003</v>
      </c>
      <c r="V111" s="2">
        <f>IFERROR(ROUND(U111,0),"null")</f>
        <v>100</v>
      </c>
      <c r="W111" s="2" t="str">
        <f>IF(AND(A111=A112,V111=100,V112=100),"full access","")</f>
        <v/>
      </c>
      <c r="X111" s="2" t="str">
        <f>IFERROR(IF(A112=A111,((U111-U112)/(C111-C112)),""),"null")</f>
        <v/>
      </c>
      <c r="Y111" s="2">
        <v>0</v>
      </c>
      <c r="Z111" s="2">
        <v>0.27484188250000002</v>
      </c>
      <c r="AA111" s="2">
        <v>0</v>
      </c>
      <c r="AB111" s="2" t="str">
        <f>IFERROR(IF(A112=A111, Q111-X111, ""), "null")</f>
        <v/>
      </c>
    </row>
    <row r="112" spans="1:28">
      <c r="A112" s="2" t="s">
        <v>97</v>
      </c>
      <c r="B112" s="2" t="str">
        <f>VLOOKUP(A112,Regions!A:B,2,0)</f>
        <v>Europe &amp; Central Asia</v>
      </c>
      <c r="C112" s="2">
        <v>2015</v>
      </c>
      <c r="D112" s="2">
        <f>IF(A113=A112,ABS(C113-C112),"")</f>
        <v>5</v>
      </c>
      <c r="E112" s="2">
        <f>IFERROR(IF(A113=A112,((H112-H113)/(C112-C113)), ""), "null")</f>
        <v>9.9796000000651475E-5</v>
      </c>
      <c r="F112" s="2">
        <v>10601.389649999999</v>
      </c>
      <c r="G112" s="2">
        <v>73.47699738</v>
      </c>
      <c r="H112" s="2">
        <v>99.880092689999998</v>
      </c>
      <c r="I112" s="2">
        <f>IFERROR(ROUND(H112,0),"null")</f>
        <v>100</v>
      </c>
      <c r="J112" s="2" t="str">
        <f>IF(AND(A113=A112,I112=100,I113=100),"full access", " ")</f>
        <v>full access</v>
      </c>
      <c r="K112" s="2">
        <v>0</v>
      </c>
      <c r="L112" s="2">
        <v>0.11990731189999999</v>
      </c>
      <c r="M112" s="2">
        <v>0</v>
      </c>
      <c r="N112" s="2">
        <v>99.817599299999998</v>
      </c>
      <c r="O112" s="2">
        <f>IFERROR(ROUND(N112,0),"null")</f>
        <v>100</v>
      </c>
      <c r="P112" s="2" t="str">
        <f>IF(AND(A112=A113,O112=100,O113=100),"full access"," ")</f>
        <v>full access</v>
      </c>
      <c r="Q112" s="2">
        <f>IFERROR(IF(A113=A112,((N112-N113)/(C112-C113)),""),"null")</f>
        <v>0</v>
      </c>
      <c r="R112" s="2">
        <v>0</v>
      </c>
      <c r="S112" s="2">
        <v>0.18240069649999999</v>
      </c>
      <c r="T112" s="2">
        <v>0</v>
      </c>
      <c r="U112" s="2">
        <v>99.902650929999993</v>
      </c>
      <c r="V112" s="2">
        <f>IFERROR(ROUND(U112,0),"null")</f>
        <v>100</v>
      </c>
      <c r="W112" s="2" t="str">
        <f>IF(AND(A112=A113,V112=100,V113=100),"full access","")</f>
        <v>full access</v>
      </c>
      <c r="X112" s="2">
        <f>IFERROR(IF(A113=A112,((U112-U113)/(C112-C113)),""),"null")</f>
        <v>0</v>
      </c>
      <c r="Y112" s="2">
        <v>0</v>
      </c>
      <c r="Z112" s="2">
        <v>9.7349067900000003E-2</v>
      </c>
      <c r="AA112" s="2">
        <v>0</v>
      </c>
      <c r="AB112" s="2">
        <f>IFERROR(IF(A113=A112, Q112-X112, ""), "null")</f>
        <v>0</v>
      </c>
    </row>
    <row r="113" spans="1:28">
      <c r="A113" s="2" t="s">
        <v>97</v>
      </c>
      <c r="B113" s="2" t="str">
        <f>VLOOKUP(A113,Regions!A:B,2,0)</f>
        <v>Europe &amp; Central Asia</v>
      </c>
      <c r="C113" s="2">
        <v>2020</v>
      </c>
      <c r="D113" s="2" t="str">
        <f>IF(A114=A113,ABS(C114-C113),"")</f>
        <v/>
      </c>
      <c r="E113" s="2" t="str">
        <f>IFERROR(IF(A114=A113,((H113-H114)/(C113-C114)), ""), "null")</f>
        <v/>
      </c>
      <c r="F113" s="2">
        <v>10708.98242</v>
      </c>
      <c r="G113" s="2">
        <v>74.061004639999993</v>
      </c>
      <c r="H113" s="2">
        <v>99.880591670000001</v>
      </c>
      <c r="I113" s="2">
        <f>IFERROR(ROUND(H113,0),"null")</f>
        <v>100</v>
      </c>
      <c r="J113" s="2" t="str">
        <f>IF(AND(A114=A113,I113=100,I114=100),"full access", " ")</f>
        <v xml:space="preserve"> </v>
      </c>
      <c r="K113" s="2">
        <v>0</v>
      </c>
      <c r="L113" s="2">
        <v>0.11940833250000001</v>
      </c>
      <c r="M113" s="2">
        <v>0</v>
      </c>
      <c r="N113" s="2">
        <v>99.817599299999998</v>
      </c>
      <c r="O113" s="2">
        <f>IFERROR(ROUND(N113,0),"null")</f>
        <v>100</v>
      </c>
      <c r="P113" s="2" t="str">
        <f>IF(AND(A113=A114,O113=100,O114=100),"full access"," ")</f>
        <v xml:space="preserve"> </v>
      </c>
      <c r="Q113" s="2" t="str">
        <f>IFERROR(IF(A114=A113,((N113-N114)/(C113-C114)),""),"null")</f>
        <v/>
      </c>
      <c r="R113" s="2">
        <v>0</v>
      </c>
      <c r="S113" s="2">
        <v>0.18240069649999999</v>
      </c>
      <c r="T113" s="2">
        <v>0</v>
      </c>
      <c r="U113" s="2">
        <v>99.902650929999993</v>
      </c>
      <c r="V113" s="2">
        <f>IFERROR(ROUND(U113,0),"null")</f>
        <v>100</v>
      </c>
      <c r="W113" s="2" t="str">
        <f>IF(AND(A113=A114,V113=100,V114=100),"full access","")</f>
        <v/>
      </c>
      <c r="X113" s="2" t="str">
        <f>IFERROR(IF(A114=A113,((U113-U114)/(C113-C114)),""),"null")</f>
        <v/>
      </c>
      <c r="Y113" s="2">
        <v>0</v>
      </c>
      <c r="Z113" s="2">
        <v>9.7349067900000003E-2</v>
      </c>
      <c r="AA113" s="2">
        <v>0</v>
      </c>
      <c r="AB113" s="2" t="str">
        <f>IFERROR(IF(A114=A113, Q113-X113, ""), "null")</f>
        <v/>
      </c>
    </row>
    <row r="114" spans="1:28">
      <c r="A114" s="2" t="s">
        <v>98</v>
      </c>
      <c r="B114" s="2" t="str">
        <f>VLOOKUP(A114,Regions!A:B,2,0)</f>
        <v>East Asia &amp; Pacific</v>
      </c>
      <c r="C114" s="2">
        <v>2015</v>
      </c>
      <c r="D114" s="2">
        <f>IF(A115=A114,ABS(C115-C114),"")</f>
        <v>5</v>
      </c>
      <c r="E114" s="2">
        <f>IFERROR(IF(A115=A114,((H114-H115)/(C114-C115)), ""), "null")</f>
        <v>-0.27420773599999959</v>
      </c>
      <c r="F114" s="2">
        <v>25183.832030000001</v>
      </c>
      <c r="G114" s="2">
        <v>61.277004239999997</v>
      </c>
      <c r="H114" s="2">
        <v>95.21488171</v>
      </c>
      <c r="I114" s="2">
        <f>IFERROR(ROUND(H114,0),"null")</f>
        <v>95</v>
      </c>
      <c r="J114" s="2" t="str">
        <f>IF(AND(A115=A114,I114=100,I115=100),"full access", " ")</f>
        <v xml:space="preserve"> </v>
      </c>
      <c r="K114" s="2">
        <v>0.68500239009999997</v>
      </c>
      <c r="L114" s="2">
        <v>3.8290549180000002</v>
      </c>
      <c r="M114" s="2">
        <v>0.27106098029999998</v>
      </c>
      <c r="N114" s="2">
        <v>91.616968420000006</v>
      </c>
      <c r="O114" s="2">
        <f>IFERROR(ROUND(N114,0),"null")</f>
        <v>92</v>
      </c>
      <c r="P114" s="2" t="str">
        <f>IF(AND(A114=A115,O114=100,O115=100),"full access"," ")</f>
        <v xml:space="preserve"> </v>
      </c>
      <c r="Q114" s="2">
        <f>IFERROR(IF(A115=A114,((N114-N115)/(C114-C115)),""),"null")</f>
        <v>-0.57266870800000047</v>
      </c>
      <c r="R114" s="2">
        <v>0.36793963219999998</v>
      </c>
      <c r="S114" s="2">
        <v>7.3150919439999997</v>
      </c>
      <c r="T114" s="2">
        <v>0.7</v>
      </c>
      <c r="U114" s="2">
        <v>97.48852402</v>
      </c>
      <c r="V114" s="2">
        <f>IFERROR(ROUND(U114,0),"null")</f>
        <v>97</v>
      </c>
      <c r="W114" s="2" t="str">
        <f>IF(AND(A114=A115,V114=100,V115=100),"full access","")</f>
        <v/>
      </c>
      <c r="X114" s="2">
        <f>IFERROR(IF(A115=A114,((U114-U115)/(C114-C115)),""),"null")</f>
        <v>-0.11500271600000075</v>
      </c>
      <c r="Y114" s="2">
        <v>0.88536500119999995</v>
      </c>
      <c r="Z114" s="2">
        <v>1.626110978</v>
      </c>
      <c r="AA114" s="2">
        <v>0</v>
      </c>
      <c r="AB114" s="2">
        <f>IFERROR(IF(A115=A114, Q114-X114, ""), "null")</f>
        <v>-0.45766599199999969</v>
      </c>
    </row>
    <row r="115" spans="1:28">
      <c r="A115" s="2" t="s">
        <v>98</v>
      </c>
      <c r="B115" s="2" t="str">
        <f>VLOOKUP(A115,Regions!A:B,2,0)</f>
        <v>East Asia &amp; Pacific</v>
      </c>
      <c r="C115" s="2">
        <v>2020</v>
      </c>
      <c r="D115" s="2" t="str">
        <f>IF(A116=A115,ABS(C116-C115),"")</f>
        <v/>
      </c>
      <c r="E115" s="2" t="str">
        <f>IFERROR(IF(A116=A115,((H115-H116)/(C115-C116)), ""), "null")</f>
        <v/>
      </c>
      <c r="F115" s="2">
        <v>25778.814450000002</v>
      </c>
      <c r="G115" s="2">
        <v>62.381000520000001</v>
      </c>
      <c r="H115" s="2">
        <v>93.843843030000002</v>
      </c>
      <c r="I115" s="2">
        <f>IFERROR(ROUND(H115,0),"null")</f>
        <v>94</v>
      </c>
      <c r="J115" s="2" t="str">
        <f>IF(AND(A116=A115,I115=100,I116=100),"full access", " ")</f>
        <v xml:space="preserve"> </v>
      </c>
      <c r="K115" s="2">
        <v>0.68313118719999999</v>
      </c>
      <c r="L115" s="2">
        <v>5.2096927800000001</v>
      </c>
      <c r="M115" s="2">
        <v>0.26333300580000002</v>
      </c>
      <c r="N115" s="2">
        <v>88.753624880000004</v>
      </c>
      <c r="O115" s="2">
        <f>IFERROR(ROUND(N115,0),"null")</f>
        <v>89</v>
      </c>
      <c r="P115" s="2" t="str">
        <f>IF(AND(A115=A116,O115=100,O116=100),"full access"," ")</f>
        <v xml:space="preserve"> </v>
      </c>
      <c r="Q115" s="2" t="str">
        <f>IFERROR(IF(A116=A115,((N115-N116)/(C115-C116)),""),"null")</f>
        <v/>
      </c>
      <c r="R115" s="2">
        <v>0.3564402606</v>
      </c>
      <c r="S115" s="2">
        <v>10.189934859999999</v>
      </c>
      <c r="T115" s="2">
        <v>0.7</v>
      </c>
      <c r="U115" s="2">
        <v>96.913510439999996</v>
      </c>
      <c r="V115" s="2">
        <f>IFERROR(ROUND(U115,0),"null")</f>
        <v>97</v>
      </c>
      <c r="W115" s="2" t="str">
        <f>IF(AND(A115=A116,V115=100,V116=100),"full access","")</f>
        <v/>
      </c>
      <c r="X115" s="2" t="str">
        <f>IFERROR(IF(A116=A115,((U115-U116)/(C115-C116)),""),"null")</f>
        <v/>
      </c>
      <c r="Y115" s="2">
        <v>0.88014287989999995</v>
      </c>
      <c r="Z115" s="2">
        <v>2.206346677</v>
      </c>
      <c r="AA115" s="2">
        <v>0</v>
      </c>
      <c r="AB115" s="2" t="str">
        <f>IFERROR(IF(A116=A115, Q115-X115, ""), "null")</f>
        <v/>
      </c>
    </row>
    <row r="116" spans="1:28">
      <c r="A116" s="2" t="s">
        <v>99</v>
      </c>
      <c r="B116" s="2" t="str">
        <f>VLOOKUP(A116,Regions!A:B,2,0)</f>
        <v>Sub-Saharan Africa</v>
      </c>
      <c r="C116" s="2">
        <v>2015</v>
      </c>
      <c r="D116" s="2">
        <f>IF(A117=A116,ABS(C117-C116),"")</f>
        <v>5</v>
      </c>
      <c r="E116" s="2">
        <f>IFERROR(IF(A117=A116,((H116-H117)/(C116-C117)), ""), "null")</f>
        <v>0.6467893979999999</v>
      </c>
      <c r="F116" s="2">
        <v>76244.53125</v>
      </c>
      <c r="G116" s="2">
        <v>42.739997860000003</v>
      </c>
      <c r="H116" s="2">
        <v>42.718179970000001</v>
      </c>
      <c r="I116" s="2">
        <f>IFERROR(ROUND(H116,0),"null")</f>
        <v>43</v>
      </c>
      <c r="J116" s="2" t="str">
        <f>IF(AND(A117=A116,I116=100,I117=100),"full access", " ")</f>
        <v xml:space="preserve"> </v>
      </c>
      <c r="K116" s="2">
        <v>12.68729907</v>
      </c>
      <c r="L116" s="2">
        <v>34.284024770000002</v>
      </c>
      <c r="M116" s="2">
        <v>10.31049619</v>
      </c>
      <c r="N116" s="2">
        <v>20.6225138</v>
      </c>
      <c r="O116" s="2">
        <f>IFERROR(ROUND(N116,0),"null")</f>
        <v>21</v>
      </c>
      <c r="P116" s="2" t="str">
        <f>IF(AND(A116=A117,O116=100,O117=100),"full access"," ")</f>
        <v xml:space="preserve"> </v>
      </c>
      <c r="Q116" s="2">
        <f>IFERROR(IF(A117=A116,((N116-N117)/(C116-C117)),""),"null")</f>
        <v>0.2720557079999999</v>
      </c>
      <c r="R116" s="2">
        <v>11.51689397</v>
      </c>
      <c r="S116" s="2">
        <v>51.009840029999999</v>
      </c>
      <c r="T116" s="2">
        <v>16.850752199999999</v>
      </c>
      <c r="U116" s="2">
        <v>72.320377789999995</v>
      </c>
      <c r="V116" s="2">
        <f>IFERROR(ROUND(U116,0),"null")</f>
        <v>72</v>
      </c>
      <c r="W116" s="2" t="str">
        <f>IF(AND(A116=A117,V116=100,V117=100),"full access","")</f>
        <v/>
      </c>
      <c r="X116" s="2">
        <f>IFERROR(IF(A117=A116,((U116-U117)/(C116-C117)),""),"null")</f>
        <v>0.43659539800000002</v>
      </c>
      <c r="Y116" s="2">
        <v>14.255324979999999</v>
      </c>
      <c r="Z116" s="2">
        <v>11.87596826</v>
      </c>
      <c r="AA116" s="2">
        <v>1.548328967</v>
      </c>
      <c r="AB116" s="2">
        <f>IFERROR(IF(A117=A116, Q116-X116, ""), "null")</f>
        <v>-0.16453969000000013</v>
      </c>
    </row>
    <row r="117" spans="1:28">
      <c r="A117" s="2" t="s">
        <v>99</v>
      </c>
      <c r="B117" s="2" t="str">
        <f>VLOOKUP(A117,Regions!A:B,2,0)</f>
        <v>Sub-Saharan Africa</v>
      </c>
      <c r="C117" s="2">
        <v>2020</v>
      </c>
      <c r="D117" s="2" t="str">
        <f>IF(A118=A117,ABS(C118-C117),"")</f>
        <v/>
      </c>
      <c r="E117" s="2" t="str">
        <f>IFERROR(IF(A118=A117,((H117-H118)/(C117-C118)), ""), "null")</f>
        <v/>
      </c>
      <c r="F117" s="2">
        <v>89561.40625</v>
      </c>
      <c r="G117" s="2">
        <v>45.638000490000003</v>
      </c>
      <c r="H117" s="2">
        <v>45.952126960000001</v>
      </c>
      <c r="I117" s="2">
        <f>IFERROR(ROUND(H117,0),"null")</f>
        <v>46</v>
      </c>
      <c r="J117" s="2" t="str">
        <f>IF(AND(A118=A117,I117=100,I118=100),"full access", " ")</f>
        <v xml:space="preserve"> </v>
      </c>
      <c r="K117" s="2">
        <v>13.44122447</v>
      </c>
      <c r="L117" s="2">
        <v>32.542316069999998</v>
      </c>
      <c r="M117" s="2">
        <v>8.0643324950000004</v>
      </c>
      <c r="N117" s="2">
        <v>21.98279234</v>
      </c>
      <c r="O117" s="2">
        <f>IFERROR(ROUND(N117,0),"null")</f>
        <v>22</v>
      </c>
      <c r="P117" s="2" t="str">
        <f>IF(AND(A117=A118,O117=100,O118=100),"full access"," ")</f>
        <v xml:space="preserve"> </v>
      </c>
      <c r="Q117" s="2" t="str">
        <f>IFERROR(IF(A118=A117,((N117-N118)/(C117-C118)),""),"null")</f>
        <v/>
      </c>
      <c r="R117" s="2">
        <v>12.68294146</v>
      </c>
      <c r="S117" s="2">
        <v>51.215981669999998</v>
      </c>
      <c r="T117" s="2">
        <v>14.11828453</v>
      </c>
      <c r="U117" s="2">
        <v>74.503354779999995</v>
      </c>
      <c r="V117" s="2">
        <f>IFERROR(ROUND(U117,0),"null")</f>
        <v>75</v>
      </c>
      <c r="W117" s="2" t="str">
        <f>IF(AND(A117=A118,V117=100,V118=100),"full access","")</f>
        <v/>
      </c>
      <c r="X117" s="2" t="str">
        <f>IFERROR(IF(A118=A117,((U117-U118)/(C117-C118)),""),"null")</f>
        <v/>
      </c>
      <c r="Y117" s="2">
        <v>14.34445818</v>
      </c>
      <c r="Z117" s="2">
        <v>10.29905862</v>
      </c>
      <c r="AA117" s="2">
        <v>0.85312841309999998</v>
      </c>
      <c r="AB117" s="2" t="str">
        <f>IFERROR(IF(A118=A117, Q117-X117, ""), "null")</f>
        <v/>
      </c>
    </row>
    <row r="118" spans="1:28">
      <c r="A118" s="2" t="s">
        <v>100</v>
      </c>
      <c r="B118" s="2" t="str">
        <f>VLOOKUP(A118,Regions!A:B,2,0)</f>
        <v>Europe &amp; Central Asia</v>
      </c>
      <c r="C118" s="2">
        <v>2015</v>
      </c>
      <c r="D118" s="2">
        <f>IF(A119=A118,ABS(C119-C118),"")</f>
        <v>5</v>
      </c>
      <c r="E118" s="2">
        <f>IFERROR(IF(A119=A118,((H118-H119)/(C118-C119)), ""), "null")</f>
        <v>6.5000000120107866E-7</v>
      </c>
      <c r="F118" s="2">
        <v>5688.6948240000002</v>
      </c>
      <c r="G118" s="2">
        <v>87.526000980000006</v>
      </c>
      <c r="H118" s="2">
        <v>99.99999785</v>
      </c>
      <c r="I118" s="2">
        <f>IFERROR(ROUND(H118,0),"null")</f>
        <v>100</v>
      </c>
      <c r="J118" s="2" t="str">
        <f>IF(AND(A119=A118,I118=100,I119=100),"full access", " ")</f>
        <v>full access</v>
      </c>
      <c r="K118" s="2">
        <v>0</v>
      </c>
      <c r="L118" s="2">
        <v>2.1458404119999999E-6</v>
      </c>
      <c r="M118" s="2">
        <v>0</v>
      </c>
      <c r="N118" s="2">
        <v>100</v>
      </c>
      <c r="O118" s="2">
        <f>IFERROR(ROUND(N118,0),"null")</f>
        <v>100</v>
      </c>
      <c r="P118" s="2" t="str">
        <f>IF(AND(A118=A119,O118=100,O119=100),"full access"," ")</f>
        <v>full access</v>
      </c>
      <c r="Q118" s="2">
        <f>IFERROR(IF(A119=A118,((N118-N119)/(C118-C119)),""),"null")</f>
        <v>0</v>
      </c>
      <c r="R118" s="2">
        <v>0</v>
      </c>
      <c r="S118" s="2">
        <v>0</v>
      </c>
      <c r="T118" s="2">
        <v>0</v>
      </c>
      <c r="U118" s="2">
        <v>100</v>
      </c>
      <c r="V118" s="2">
        <f>IFERROR(ROUND(U118,0),"null")</f>
        <v>100</v>
      </c>
      <c r="W118" s="2" t="str">
        <f>IF(AND(A118=A119,V118=100,V119=100),"full access","")</f>
        <v>full access</v>
      </c>
      <c r="X118" s="2">
        <f>IFERROR(IF(A119=A118,((U118-U119)/(C118-C119)),""),"null")</f>
        <v>0</v>
      </c>
      <c r="Y118" s="2">
        <v>0</v>
      </c>
      <c r="Z118" s="2">
        <v>0</v>
      </c>
      <c r="AA118" s="2">
        <v>0</v>
      </c>
      <c r="AB118" s="2">
        <f>IFERROR(IF(A119=A118, Q118-X118, ""), "null")</f>
        <v>0</v>
      </c>
    </row>
    <row r="119" spans="1:28">
      <c r="A119" s="2" t="s">
        <v>100</v>
      </c>
      <c r="B119" s="2" t="str">
        <f>VLOOKUP(A119,Regions!A:B,2,0)</f>
        <v>Europe &amp; Central Asia</v>
      </c>
      <c r="C119" s="2">
        <v>2020</v>
      </c>
      <c r="D119" s="2" t="str">
        <f>IF(A120=A119,ABS(C120-C119),"")</f>
        <v/>
      </c>
      <c r="E119" s="2" t="str">
        <f>IFERROR(IF(A120=A119,((H119-H120)/(C119-C120)), ""), "null")</f>
        <v/>
      </c>
      <c r="F119" s="2">
        <v>5792.203125</v>
      </c>
      <c r="G119" s="2">
        <v>88.116004939999996</v>
      </c>
      <c r="H119" s="2">
        <v>100.00000110000001</v>
      </c>
      <c r="I119" s="2">
        <f>IFERROR(ROUND(H119,0),"null")</f>
        <v>100</v>
      </c>
      <c r="J119" s="2" t="str">
        <f>IF(AND(A120=A119,I119=100,I120=100),"full access", " ")</f>
        <v xml:space="preserve"> </v>
      </c>
      <c r="K119" s="2">
        <v>0</v>
      </c>
      <c r="L119" s="2">
        <v>0</v>
      </c>
      <c r="M119" s="2">
        <v>0</v>
      </c>
      <c r="N119" s="2">
        <v>100</v>
      </c>
      <c r="O119" s="2">
        <f>IFERROR(ROUND(N119,0),"null")</f>
        <v>100</v>
      </c>
      <c r="P119" s="2" t="str">
        <f>IF(AND(A119=A120,O119=100,O120=100),"full access"," ")</f>
        <v xml:space="preserve"> </v>
      </c>
      <c r="Q119" s="2" t="str">
        <f>IFERROR(IF(A120=A119,((N119-N120)/(C119-C120)),""),"null")</f>
        <v/>
      </c>
      <c r="R119" s="2">
        <v>0</v>
      </c>
      <c r="S119" s="2">
        <v>0</v>
      </c>
      <c r="T119" s="2">
        <v>0</v>
      </c>
      <c r="U119" s="2">
        <v>100</v>
      </c>
      <c r="V119" s="2">
        <f>IFERROR(ROUND(U119,0),"null")</f>
        <v>100</v>
      </c>
      <c r="W119" s="2" t="str">
        <f>IF(AND(A119=A120,V119=100,V120=100),"full access","")</f>
        <v/>
      </c>
      <c r="X119" s="2" t="str">
        <f>IFERROR(IF(A120=A119,((U119-U120)/(C119-C120)),""),"null")</f>
        <v/>
      </c>
      <c r="Y119" s="2">
        <v>0</v>
      </c>
      <c r="Z119" s="2">
        <v>0</v>
      </c>
      <c r="AA119" s="2">
        <v>0</v>
      </c>
      <c r="AB119" s="2" t="str">
        <f>IFERROR(IF(A120=A119, Q119-X119, ""), "null")</f>
        <v/>
      </c>
    </row>
    <row r="120" spans="1:28">
      <c r="A120" s="2" t="s">
        <v>101</v>
      </c>
      <c r="B120" s="2" t="str">
        <f>VLOOKUP(A120,Regions!A:B,2,0)</f>
        <v>Sub-Saharan Africa</v>
      </c>
      <c r="C120" s="2">
        <v>2015</v>
      </c>
      <c r="D120" s="2">
        <f>IF(A121=A120,ABS(C121-C120),"")</f>
        <v>5</v>
      </c>
      <c r="E120" s="2">
        <f>IFERROR(IF(A121=A120,((H120-H121)/(C120-C121)), ""), "null")</f>
        <v>5.257503599999893E-2</v>
      </c>
      <c r="F120" s="2">
        <v>913.99798580000004</v>
      </c>
      <c r="G120" s="2">
        <v>77.416992190000002</v>
      </c>
      <c r="H120" s="2">
        <v>75.787045030000002</v>
      </c>
      <c r="I120" s="2">
        <f>IFERROR(ROUND(H120,0),"null")</f>
        <v>76</v>
      </c>
      <c r="J120" s="2" t="str">
        <f>IF(AND(A121=A120,I120=100,I121=100),"full access", " ")</f>
        <v xml:space="preserve"> </v>
      </c>
      <c r="K120" s="2">
        <v>14.754171189999999</v>
      </c>
      <c r="L120" s="2">
        <v>7.3949239499999999</v>
      </c>
      <c r="M120" s="2">
        <v>2.0638598250000002</v>
      </c>
      <c r="N120" s="2">
        <v>48.759205090000002</v>
      </c>
      <c r="O120" s="2">
        <f>IFERROR(ROUND(N120,0),"null")</f>
        <v>49</v>
      </c>
      <c r="P120" s="2" t="str">
        <f>IF(AND(A120=A121,O120=100,O121=100),"full access"," ")</f>
        <v xml:space="preserve"> </v>
      </c>
      <c r="Q120" s="2">
        <f>IFERROR(IF(A121=A120,((N120-N121)/(C120-C121)),""),"null")</f>
        <v>-0.29569443200000051</v>
      </c>
      <c r="R120" s="2">
        <v>12.43877762</v>
      </c>
      <c r="S120" s="2">
        <v>30.377002539999999</v>
      </c>
      <c r="T120" s="2">
        <v>8.4250147539999993</v>
      </c>
      <c r="U120" s="2">
        <v>83.671229850000003</v>
      </c>
      <c r="V120" s="2">
        <f>IFERROR(ROUND(U120,0),"null")</f>
        <v>84</v>
      </c>
      <c r="W120" s="2" t="str">
        <f>IF(AND(A120=A121,V120=100,V121=100),"full access","")</f>
        <v/>
      </c>
      <c r="X120" s="2">
        <f>IFERROR(IF(A121=A120,((U120-U121)/(C120-C121)),""),"null")</f>
        <v>9.2757015999998776E-2</v>
      </c>
      <c r="Y120" s="2">
        <v>15.42958572</v>
      </c>
      <c r="Z120" s="2">
        <v>0.69091164790000004</v>
      </c>
      <c r="AA120" s="2">
        <v>0.20827278539999999</v>
      </c>
      <c r="AB120" s="2">
        <f>IFERROR(IF(A121=A120, Q120-X120, ""), "null")</f>
        <v>-0.38845144799999931</v>
      </c>
    </row>
    <row r="121" spans="1:28">
      <c r="A121" s="2" t="s">
        <v>101</v>
      </c>
      <c r="B121" s="2" t="str">
        <f>VLOOKUP(A121,Regions!A:B,2,0)</f>
        <v>Sub-Saharan Africa</v>
      </c>
      <c r="C121" s="2">
        <v>2020</v>
      </c>
      <c r="D121" s="2" t="str">
        <f>IF(A122=A121,ABS(C122-C121),"")</f>
        <v/>
      </c>
      <c r="E121" s="2" t="str">
        <f>IFERROR(IF(A122=A121,((H121-H122)/(C121-C122)), ""), "null")</f>
        <v/>
      </c>
      <c r="F121" s="2">
        <v>988.00201419999996</v>
      </c>
      <c r="G121" s="2">
        <v>78.061996460000003</v>
      </c>
      <c r="H121" s="2">
        <v>76.049920209999996</v>
      </c>
      <c r="I121" s="2">
        <f>IFERROR(ROUND(H121,0),"null")</f>
        <v>76</v>
      </c>
      <c r="J121" s="2" t="str">
        <f>IF(AND(A122=A121,I121=100,I122=100),"full access", " ")</f>
        <v xml:space="preserve"> </v>
      </c>
      <c r="K121" s="2">
        <v>14.7574817</v>
      </c>
      <c r="L121" s="2">
        <v>7.0158760510000002</v>
      </c>
      <c r="M121" s="2">
        <v>2.1767220379999999</v>
      </c>
      <c r="N121" s="2">
        <v>47.280732929999999</v>
      </c>
      <c r="O121" s="2">
        <f>IFERROR(ROUND(N121,0),"null")</f>
        <v>47</v>
      </c>
      <c r="P121" s="2" t="str">
        <f>IF(AND(A121=A122,O121=100,O122=100),"full access"," ")</f>
        <v xml:space="preserve"> </v>
      </c>
      <c r="Q121" s="2" t="str">
        <f>IFERROR(IF(A122=A121,((N121-N122)/(C121-C122)),""),"null")</f>
        <v/>
      </c>
      <c r="R121" s="2">
        <v>12.061610140000001</v>
      </c>
      <c r="S121" s="2">
        <v>30.735504679999998</v>
      </c>
      <c r="T121" s="2">
        <v>9.9221522489999998</v>
      </c>
      <c r="U121" s="2">
        <v>84.135014929999997</v>
      </c>
      <c r="V121" s="2">
        <f>IFERROR(ROUND(U121,0),"null")</f>
        <v>84</v>
      </c>
      <c r="W121" s="2" t="str">
        <f>IF(AND(A121=A122,V121=100,V122=100),"full access","")</f>
        <v/>
      </c>
      <c r="X121" s="2" t="str">
        <f>IFERROR(IF(A122=A121,((U121-U122)/(C121-C122)),""),"null")</f>
        <v/>
      </c>
      <c r="Y121" s="2">
        <v>15.51511107</v>
      </c>
      <c r="Z121" s="2">
        <v>0.34987400289999998</v>
      </c>
      <c r="AA121" s="2">
        <v>0</v>
      </c>
      <c r="AB121" s="2" t="str">
        <f>IFERROR(IF(A122=A121, Q121-X121, ""), "null")</f>
        <v/>
      </c>
    </row>
    <row r="122" spans="1:28">
      <c r="A122" s="2" t="s">
        <v>102</v>
      </c>
      <c r="B122" s="2" t="str">
        <f>VLOOKUP(A122,Regions!A:B,2,0)</f>
        <v>Latin America &amp; Caribbean</v>
      </c>
      <c r="C122" s="2">
        <v>2015</v>
      </c>
      <c r="D122" s="2">
        <f>IF(A123=A122,ABS(C123-C122),"")</f>
        <v>2</v>
      </c>
      <c r="E122" s="2">
        <f>IFERROR(IF(A123=A122,((H122-H123)/(C122-C123)), ""), "null")</f>
        <v>0</v>
      </c>
      <c r="F122" s="2">
        <v>71.175003050000001</v>
      </c>
      <c r="G122" s="2">
        <v>69.578994750000007</v>
      </c>
      <c r="H122" s="2">
        <v>95.420656059999999</v>
      </c>
      <c r="I122" s="2">
        <f>IFERROR(ROUND(H122,0),"null")</f>
        <v>95</v>
      </c>
      <c r="J122" s="2" t="str">
        <f>IF(AND(A123=A122,I122=100,I123=100),"full access", " ")</f>
        <v xml:space="preserve"> </v>
      </c>
      <c r="K122" s="2">
        <v>0</v>
      </c>
      <c r="L122" s="2">
        <v>4.579343937</v>
      </c>
      <c r="M122" s="2">
        <v>0</v>
      </c>
      <c r="N122" s="2" t="s">
        <v>45</v>
      </c>
      <c r="O122" s="2" t="str">
        <f>IFERROR(ROUND(N122,0),"null")</f>
        <v>null</v>
      </c>
      <c r="P122" s="2" t="str">
        <f>IF(AND(A122=A123,O122=100,O123=100),"full access"," ")</f>
        <v xml:space="preserve"> </v>
      </c>
      <c r="Q122" s="2" t="str">
        <f>IFERROR(IF(A123=A122,((N122-N123)/(C122-C123)),""),"null")</f>
        <v>null</v>
      </c>
      <c r="R122" s="2" t="s">
        <v>45</v>
      </c>
      <c r="S122" s="2" t="s">
        <v>45</v>
      </c>
      <c r="T122" s="2" t="s">
        <v>45</v>
      </c>
      <c r="U122" s="2" t="s">
        <v>45</v>
      </c>
      <c r="V122" s="2" t="str">
        <f>IFERROR(ROUND(U122,0),"null")</f>
        <v>null</v>
      </c>
      <c r="W122" s="2" t="str">
        <f>IF(AND(A122=A123,V122=100,V123=100),"full access","")</f>
        <v/>
      </c>
      <c r="X122" s="2" t="str">
        <f>IFERROR(IF(A123=A122,((U122-U123)/(C122-C123)),""),"null")</f>
        <v>null</v>
      </c>
      <c r="Y122" s="2" t="s">
        <v>45</v>
      </c>
      <c r="Z122" s="2" t="s">
        <v>45</v>
      </c>
      <c r="AA122" s="2" t="s">
        <v>45</v>
      </c>
      <c r="AB122" s="2" t="str">
        <f>IFERROR(IF(A123=A122, Q122-X122, ""), "null")</f>
        <v>null</v>
      </c>
    </row>
    <row r="123" spans="1:28">
      <c r="A123" s="2" t="s">
        <v>102</v>
      </c>
      <c r="B123" s="2" t="str">
        <f>VLOOKUP(A123,Regions!A:B,2,0)</f>
        <v>Latin America &amp; Caribbean</v>
      </c>
      <c r="C123" s="2">
        <v>2017</v>
      </c>
      <c r="D123" s="2" t="str">
        <f>IF(A124=A123,ABS(C124-C123),"")</f>
        <v/>
      </c>
      <c r="E123" s="2" t="str">
        <f>IFERROR(IF(A124=A123,((H123-H124)/(C123-C124)), ""), "null")</f>
        <v/>
      </c>
      <c r="F123" s="2">
        <v>71.459999080000003</v>
      </c>
      <c r="G123" s="2">
        <v>70.180999760000006</v>
      </c>
      <c r="H123" s="2">
        <v>95.420656059999999</v>
      </c>
      <c r="I123" s="2">
        <f>IFERROR(ROUND(H123,0),"null")</f>
        <v>95</v>
      </c>
      <c r="J123" s="2" t="str">
        <f>IF(AND(A124=A123,I123=100,I124=100),"full access", " ")</f>
        <v xml:space="preserve"> </v>
      </c>
      <c r="K123" s="2">
        <v>0</v>
      </c>
      <c r="L123" s="2">
        <v>4.579343937</v>
      </c>
      <c r="M123" s="2">
        <v>0</v>
      </c>
      <c r="N123" s="2" t="s">
        <v>45</v>
      </c>
      <c r="O123" s="2" t="str">
        <f>IFERROR(ROUND(N123,0),"null")</f>
        <v>null</v>
      </c>
      <c r="P123" s="2" t="str">
        <f>IF(AND(A123=A124,O123=100,O124=100),"full access"," ")</f>
        <v xml:space="preserve"> </v>
      </c>
      <c r="Q123" s="2" t="str">
        <f>IFERROR(IF(A124=A123,((N123-N124)/(C123-C124)),""),"null")</f>
        <v/>
      </c>
      <c r="R123" s="2" t="s">
        <v>45</v>
      </c>
      <c r="S123" s="2" t="s">
        <v>45</v>
      </c>
      <c r="T123" s="2" t="s">
        <v>45</v>
      </c>
      <c r="U123" s="2" t="s">
        <v>45</v>
      </c>
      <c r="V123" s="2" t="str">
        <f>IFERROR(ROUND(U123,0),"null")</f>
        <v>null</v>
      </c>
      <c r="W123" s="2" t="str">
        <f>IF(AND(A123=A124,V123=100,V124=100),"full access","")</f>
        <v/>
      </c>
      <c r="X123" s="2" t="str">
        <f>IFERROR(IF(A124=A123,((U123-U124)/(C123-C124)),""),"null")</f>
        <v/>
      </c>
      <c r="Y123" s="2" t="s">
        <v>45</v>
      </c>
      <c r="Z123" s="2" t="s">
        <v>45</v>
      </c>
      <c r="AA123" s="2" t="s">
        <v>45</v>
      </c>
      <c r="AB123" s="2" t="str">
        <f>IFERROR(IF(A124=A123, Q123-X123, ""), "null")</f>
        <v/>
      </c>
    </row>
    <row r="124" spans="1:28">
      <c r="A124" s="2" t="s">
        <v>103</v>
      </c>
      <c r="B124" s="2" t="str">
        <f>VLOOKUP(A124,Regions!A:B,2,0)</f>
        <v>Latin America &amp; Caribbean</v>
      </c>
      <c r="C124" s="2">
        <v>2015</v>
      </c>
      <c r="D124" s="2">
        <f>IF(A125=A124,ABS(C125-C124),"")</f>
        <v>5</v>
      </c>
      <c r="E124" s="2">
        <f>IFERROR(IF(A125=A124,((H124-H125)/(C124-C125)), ""), "null")</f>
        <v>0.11749468399999899</v>
      </c>
      <c r="F124" s="2">
        <v>10281.674800000001</v>
      </c>
      <c r="G124" s="2">
        <v>78.566001889999995</v>
      </c>
      <c r="H124" s="2">
        <v>96.099338500000002</v>
      </c>
      <c r="I124" s="2">
        <f>IFERROR(ROUND(H124,0),"null")</f>
        <v>96</v>
      </c>
      <c r="J124" s="2" t="str">
        <f>IF(AND(A125=A124,I124=100,I125=100),"full access", " ")</f>
        <v xml:space="preserve"> </v>
      </c>
      <c r="K124" s="2">
        <v>0.69521221550000001</v>
      </c>
      <c r="L124" s="2">
        <v>1.5505944979999999</v>
      </c>
      <c r="M124" s="2">
        <v>1.654854791</v>
      </c>
      <c r="N124" s="2">
        <v>89.211043779999997</v>
      </c>
      <c r="O124" s="2">
        <f>IFERROR(ROUND(N124,0),"null")</f>
        <v>89</v>
      </c>
      <c r="P124" s="2" t="str">
        <f>IF(AND(A124=A125,O124=100,O125=100),"full access"," ")</f>
        <v xml:space="preserve"> </v>
      </c>
      <c r="Q124" s="2">
        <f>IFERROR(IF(A125=A124,((N124-N125)/(C124-C125)),""),"null")</f>
        <v>0.21868411800000159</v>
      </c>
      <c r="R124" s="2">
        <v>1.8228771610000001</v>
      </c>
      <c r="S124" s="2">
        <v>2.4418886230000001</v>
      </c>
      <c r="T124" s="2">
        <v>6.5241904399999999</v>
      </c>
      <c r="U124" s="2">
        <v>97.978569809999996</v>
      </c>
      <c r="V124" s="2">
        <f>IFERROR(ROUND(U124,0),"null")</f>
        <v>98</v>
      </c>
      <c r="W124" s="2" t="str">
        <f>IF(AND(A124=A125,V124=100,V125=100),"full access","")</f>
        <v/>
      </c>
      <c r="X124" s="2">
        <f>IFERROR(IF(A125=A124,((U124-U125)/(C124-C125)),""),"null")</f>
        <v>1.1664354000001254E-2</v>
      </c>
      <c r="Y124" s="2">
        <v>0.3875681084</v>
      </c>
      <c r="Z124" s="2">
        <v>1.3074359369999999</v>
      </c>
      <c r="AA124" s="2">
        <v>0.32642614349999999</v>
      </c>
      <c r="AB124" s="2">
        <f>IFERROR(IF(A125=A124, Q124-X124, ""), "null")</f>
        <v>0.20701976400000033</v>
      </c>
    </row>
    <row r="125" spans="1:28">
      <c r="A125" s="2" t="s">
        <v>103</v>
      </c>
      <c r="B125" s="2" t="str">
        <f>VLOOKUP(A125,Regions!A:B,2,0)</f>
        <v>Latin America &amp; Caribbean</v>
      </c>
      <c r="C125" s="2">
        <v>2020</v>
      </c>
      <c r="D125" s="2" t="str">
        <f>IF(A126=A125,ABS(C126-C125),"")</f>
        <v/>
      </c>
      <c r="E125" s="2" t="str">
        <f>IFERROR(IF(A126=A125,((H125-H126)/(C125-C126)), ""), "null")</f>
        <v/>
      </c>
      <c r="F125" s="2">
        <v>10847.9043</v>
      </c>
      <c r="G125" s="2">
        <v>82.540000919999997</v>
      </c>
      <c r="H125" s="2">
        <v>96.686811919999997</v>
      </c>
      <c r="I125" s="2">
        <f>IFERROR(ROUND(H125,0),"null")</f>
        <v>97</v>
      </c>
      <c r="J125" s="2" t="str">
        <f>IF(AND(A126=A125,I125=100,I126=100),"full access", " ")</f>
        <v xml:space="preserve"> </v>
      </c>
      <c r="K125" s="2">
        <v>0.46703865039999998</v>
      </c>
      <c r="L125" s="2">
        <v>1.2694287829999999</v>
      </c>
      <c r="M125" s="2">
        <v>1.5767206439999999</v>
      </c>
      <c r="N125" s="2">
        <v>90.304464370000005</v>
      </c>
      <c r="O125" s="2">
        <f>IFERROR(ROUND(N125,0),"null")</f>
        <v>90</v>
      </c>
      <c r="P125" s="2" t="str">
        <f>IF(AND(A125=A126,O125=100,O126=100),"full access"," ")</f>
        <v xml:space="preserve"> </v>
      </c>
      <c r="Q125" s="2" t="str">
        <f>IFERROR(IF(A126=A125,((N125-N126)/(C125-C126)),""),"null")</f>
        <v/>
      </c>
      <c r="R125" s="2">
        <v>1.3853155079999999</v>
      </c>
      <c r="S125" s="2">
        <v>1.1151181269999999</v>
      </c>
      <c r="T125" s="2">
        <v>7.1951019909999996</v>
      </c>
      <c r="U125" s="2">
        <v>98.036891580000002</v>
      </c>
      <c r="V125" s="2">
        <f>IFERROR(ROUND(U125,0),"null")</f>
        <v>98</v>
      </c>
      <c r="W125" s="2" t="str">
        <f>IF(AND(A125=A126,V125=100,V126=100),"full access","")</f>
        <v/>
      </c>
      <c r="X125" s="2" t="str">
        <f>IFERROR(IF(A126=A125,((U125-U126)/(C125-C126)),""),"null")</f>
        <v/>
      </c>
      <c r="Y125" s="2">
        <v>0.27279203590000001</v>
      </c>
      <c r="Z125" s="2">
        <v>1.3020733959999999</v>
      </c>
      <c r="AA125" s="2">
        <v>0.38824299220000003</v>
      </c>
      <c r="AB125" s="2" t="str">
        <f>IFERROR(IF(A126=A125, Q125-X125, ""), "null")</f>
        <v/>
      </c>
    </row>
    <row r="126" spans="1:28">
      <c r="A126" s="2" t="s">
        <v>104</v>
      </c>
      <c r="B126" s="2" t="str">
        <f>VLOOKUP(A126,Regions!A:B,2,0)</f>
        <v>Latin America &amp; Caribbean</v>
      </c>
      <c r="C126" s="2">
        <v>2015</v>
      </c>
      <c r="D126" s="2">
        <f>IF(A127=A126,ABS(C127-C126),"")</f>
        <v>5</v>
      </c>
      <c r="E126" s="2">
        <f>IFERROR(IF(A127=A126,((H126-H127)/(C126-C127)), ""), "null")</f>
        <v>0.45919681200000184</v>
      </c>
      <c r="F126" s="2">
        <v>16212.02246</v>
      </c>
      <c r="G126" s="2">
        <v>63.397998809999997</v>
      </c>
      <c r="H126" s="2">
        <v>93.063779499999995</v>
      </c>
      <c r="I126" s="2">
        <f>IFERROR(ROUND(H126,0),"null")</f>
        <v>93</v>
      </c>
      <c r="J126" s="2" t="str">
        <f>IF(AND(A127=A126,I126=100,I127=100),"full access", " ")</f>
        <v xml:space="preserve"> </v>
      </c>
      <c r="K126" s="2">
        <v>0.19976017630000001</v>
      </c>
      <c r="L126" s="2">
        <v>3.1195651139999998</v>
      </c>
      <c r="M126" s="2">
        <v>3.6168952120000002</v>
      </c>
      <c r="N126" s="2">
        <v>82.552481950000001</v>
      </c>
      <c r="O126" s="2">
        <f>IFERROR(ROUND(N126,0),"null")</f>
        <v>83</v>
      </c>
      <c r="P126" s="2" t="str">
        <f>IF(AND(A126=A127,O126=100,O127=100),"full access"," ")</f>
        <v xml:space="preserve"> </v>
      </c>
      <c r="Q126" s="2">
        <f>IFERROR(IF(A127=A126,((N126-N127)/(C126-C127)),""),"null")</f>
        <v>0.89965259999999891</v>
      </c>
      <c r="R126" s="2">
        <v>0.445629255</v>
      </c>
      <c r="S126" s="2">
        <v>7.379055031</v>
      </c>
      <c r="T126" s="2">
        <v>9.6228337600000007</v>
      </c>
      <c r="U126" s="2">
        <v>99.132339200000004</v>
      </c>
      <c r="V126" s="2">
        <f>IFERROR(ROUND(U126,0),"null")</f>
        <v>99</v>
      </c>
      <c r="W126" s="2" t="str">
        <f>IF(AND(A126=A127,V126=100,V127=100),"full access","")</f>
        <v/>
      </c>
      <c r="X126" s="2">
        <f>IFERROR(IF(A127=A126,((U126-U127)/(C126-C127)),""),"null")</f>
        <v>0.17353215999999919</v>
      </c>
      <c r="Y126" s="2">
        <v>5.7810890199999999E-2</v>
      </c>
      <c r="Z126" s="2">
        <v>0.66040450689999997</v>
      </c>
      <c r="AA126" s="2">
        <v>0.14944540680000001</v>
      </c>
      <c r="AB126" s="2">
        <f>IFERROR(IF(A127=A126, Q126-X126, ""), "null")</f>
        <v>0.72612043999999976</v>
      </c>
    </row>
    <row r="127" spans="1:28">
      <c r="A127" s="2" t="s">
        <v>104</v>
      </c>
      <c r="B127" s="2" t="str">
        <f>VLOOKUP(A127,Regions!A:B,2,0)</f>
        <v>Latin America &amp; Caribbean</v>
      </c>
      <c r="C127" s="2">
        <v>2020</v>
      </c>
      <c r="D127" s="2" t="str">
        <f>IF(A128=A127,ABS(C128-C127),"")</f>
        <v/>
      </c>
      <c r="E127" s="2" t="str">
        <f>IFERROR(IF(A128=A127,((H127-H128)/(C127-C128)), ""), "null")</f>
        <v/>
      </c>
      <c r="F127" s="2">
        <v>17643.060549999998</v>
      </c>
      <c r="G127" s="2">
        <v>64.166000370000006</v>
      </c>
      <c r="H127" s="2">
        <v>95.359763560000005</v>
      </c>
      <c r="I127" s="2">
        <f>IFERROR(ROUND(H127,0),"null")</f>
        <v>95</v>
      </c>
      <c r="J127" s="2" t="str">
        <f>IF(AND(A128=A127,I127=100,I128=100),"full access", " ")</f>
        <v xml:space="preserve"> </v>
      </c>
      <c r="K127" s="2">
        <v>3.451463449E-3</v>
      </c>
      <c r="L127" s="2">
        <v>2.6044853890000002</v>
      </c>
      <c r="M127" s="2">
        <v>2.032299589</v>
      </c>
      <c r="N127" s="2">
        <v>87.050744949999995</v>
      </c>
      <c r="O127" s="2">
        <f>IFERROR(ROUND(N127,0),"null")</f>
        <v>87</v>
      </c>
      <c r="P127" s="2" t="str">
        <f>IF(AND(A127=A128,O127=100,O128=100),"full access"," ")</f>
        <v xml:space="preserve"> </v>
      </c>
      <c r="Q127" s="2" t="str">
        <f>IFERROR(IF(A128=A127,((N127-N128)/(C127-C128)),""),"null")</f>
        <v/>
      </c>
      <c r="R127" s="2">
        <v>9.6318110219999996E-3</v>
      </c>
      <c r="S127" s="2">
        <v>7.2681954900000001</v>
      </c>
      <c r="T127" s="2">
        <v>5.6714277470000001</v>
      </c>
      <c r="U127" s="2">
        <v>100</v>
      </c>
      <c r="V127" s="2">
        <f>IFERROR(ROUND(U127,0),"null")</f>
        <v>100</v>
      </c>
      <c r="W127" s="2" t="str">
        <f>IF(AND(A127=A128,V127=100,V128=100),"full access","")</f>
        <v/>
      </c>
      <c r="X127" s="2" t="str">
        <f>IFERROR(IF(A128=A127,((U127-U128)/(C127-C128)),""),"null")</f>
        <v/>
      </c>
      <c r="Y127" s="2">
        <v>0</v>
      </c>
      <c r="Z127" s="2">
        <v>0</v>
      </c>
      <c r="AA127" s="2">
        <v>0</v>
      </c>
      <c r="AB127" s="2" t="str">
        <f>IFERROR(IF(A128=A127, Q127-X127, ""), "null")</f>
        <v/>
      </c>
    </row>
    <row r="128" spans="1:28">
      <c r="A128" s="2" t="s">
        <v>105</v>
      </c>
      <c r="B128" s="2" t="str">
        <f>VLOOKUP(A128,Regions!A:B,2,0)</f>
        <v>Middle East &amp; North Africa</v>
      </c>
      <c r="C128" s="2">
        <v>2015</v>
      </c>
      <c r="D128" s="2">
        <f>IF(A129=A128,ABS(C129-C128),"")</f>
        <v>5</v>
      </c>
      <c r="E128" s="2">
        <f>IFERROR(IF(A129=A128,((H128-H129)/(C128-C129)), ""), "null")</f>
        <v>6.669168399999989E-2</v>
      </c>
      <c r="F128" s="2">
        <v>92442.546879999994</v>
      </c>
      <c r="G128" s="2">
        <v>42.784999849999998</v>
      </c>
      <c r="H128" s="2">
        <v>99.106717540000005</v>
      </c>
      <c r="I128" s="2">
        <f>IFERROR(ROUND(H128,0),"null")</f>
        <v>99</v>
      </c>
      <c r="J128" s="2" t="str">
        <f>IF(AND(A129=A128,I128=100,I129=100),"full access", " ")</f>
        <v xml:space="preserve"> </v>
      </c>
      <c r="K128" s="2">
        <v>0.28637254010000002</v>
      </c>
      <c r="L128" s="2">
        <v>0.59343982930000005</v>
      </c>
      <c r="M128" s="2">
        <v>1.347009398E-2</v>
      </c>
      <c r="N128" s="2">
        <v>98.801877919999995</v>
      </c>
      <c r="O128" s="2">
        <f>IFERROR(ROUND(N128,0),"null")</f>
        <v>99</v>
      </c>
      <c r="P128" s="2" t="str">
        <f>IF(AND(A128=A129,O128=100,O129=100),"full access"," ")</f>
        <v xml:space="preserve"> </v>
      </c>
      <c r="Q128" s="2">
        <f>IFERROR(IF(A129=A128,((N128-N129)/(C128-C129)),""),"null")</f>
        <v>0.1061914459999997</v>
      </c>
      <c r="R128" s="2">
        <v>0.41034629639999998</v>
      </c>
      <c r="S128" s="2">
        <v>0.76423283809999998</v>
      </c>
      <c r="T128" s="2">
        <v>2.3542941179999999E-2</v>
      </c>
      <c r="U128" s="2">
        <v>99.514369729999999</v>
      </c>
      <c r="V128" s="2">
        <f>IFERROR(ROUND(U128,0),"null")</f>
        <v>100</v>
      </c>
      <c r="W128" s="2" t="str">
        <f>IF(AND(A128=A129,V128=100,V129=100),"full access","")</f>
        <v>full access</v>
      </c>
      <c r="X128" s="2">
        <f>IFERROR(IF(A129=A128,((U128-U129)/(C128-C129)),""),"null")</f>
        <v>1.3872273999999152E-2</v>
      </c>
      <c r="Y128" s="2">
        <v>0.12058643080000001</v>
      </c>
      <c r="Z128" s="2">
        <v>0.36504384220000002</v>
      </c>
      <c r="AA128" s="2">
        <v>0</v>
      </c>
      <c r="AB128" s="2">
        <f>IFERROR(IF(A129=A128, Q128-X128, ""), "null")</f>
        <v>9.2319172000000546E-2</v>
      </c>
    </row>
    <row r="129" spans="1:28">
      <c r="A129" s="2" t="s">
        <v>105</v>
      </c>
      <c r="B129" s="2" t="str">
        <f>VLOOKUP(A129,Regions!A:B,2,0)</f>
        <v>Middle East &amp; North Africa</v>
      </c>
      <c r="C129" s="2">
        <v>2020</v>
      </c>
      <c r="D129" s="2" t="str">
        <f>IF(A130=A129,ABS(C130-C129),"")</f>
        <v/>
      </c>
      <c r="E129" s="2" t="str">
        <f>IFERROR(IF(A130=A129,((H129-H130)/(C129-C130)), ""), "null")</f>
        <v/>
      </c>
      <c r="F129" s="2">
        <v>102334.4063</v>
      </c>
      <c r="G129" s="2">
        <v>42.783000950000002</v>
      </c>
      <c r="H129" s="2">
        <v>99.440175960000005</v>
      </c>
      <c r="I129" s="2">
        <f>IFERROR(ROUND(H129,0),"null")</f>
        <v>99</v>
      </c>
      <c r="J129" s="2" t="str">
        <f>IF(AND(A130=A129,I129=100,I130=100),"full access", " ")</f>
        <v xml:space="preserve"> </v>
      </c>
      <c r="K129" s="2">
        <v>0.23760910860000001</v>
      </c>
      <c r="L129" s="2">
        <v>0.3222149265</v>
      </c>
      <c r="M129" s="2">
        <v>0</v>
      </c>
      <c r="N129" s="2">
        <v>99.332835149999994</v>
      </c>
      <c r="O129" s="2">
        <f>IFERROR(ROUND(N129,0),"null")</f>
        <v>99</v>
      </c>
      <c r="P129" s="2" t="str">
        <f>IF(AND(A129=A130,O129=100,O130=100),"full access"," ")</f>
        <v xml:space="preserve"> </v>
      </c>
      <c r="Q129" s="2" t="str">
        <f>IFERROR(IF(A130=A129,((N129-N130)/(C129-C130)),""),"null")</f>
        <v/>
      </c>
      <c r="R129" s="2">
        <v>0.33594182239999998</v>
      </c>
      <c r="S129" s="2">
        <v>0.33122303190000002</v>
      </c>
      <c r="T129" s="2">
        <v>0</v>
      </c>
      <c r="U129" s="2">
        <v>99.583731099999994</v>
      </c>
      <c r="V129" s="2">
        <f>IFERROR(ROUND(U129,0),"null")</f>
        <v>100</v>
      </c>
      <c r="W129" s="2" t="str">
        <f>IF(AND(A129=A130,V129=100,V130=100),"full access","")</f>
        <v/>
      </c>
      <c r="X129" s="2" t="str">
        <f>IFERROR(IF(A130=A129,((U129-U130)/(C129-C130)),""),"null")</f>
        <v/>
      </c>
      <c r="Y129" s="2">
        <v>0.10610120670000001</v>
      </c>
      <c r="Z129" s="2">
        <v>0.31016769430000002</v>
      </c>
      <c r="AA129" s="2">
        <v>0</v>
      </c>
      <c r="AB129" s="2" t="str">
        <f>IFERROR(IF(A130=A129, Q129-X129, ""), "null")</f>
        <v/>
      </c>
    </row>
    <row r="130" spans="1:28">
      <c r="A130" s="2" t="s">
        <v>106</v>
      </c>
      <c r="B130" s="2" t="str">
        <f>VLOOKUP(A130,Regions!A:B,2,0)</f>
        <v>Latin America &amp; Caribbean</v>
      </c>
      <c r="C130" s="2">
        <v>2015</v>
      </c>
      <c r="D130" s="2">
        <f>IF(A131=A130,ABS(C131-C130),"")</f>
        <v>5</v>
      </c>
      <c r="E130" s="2">
        <f>IFERROR(IF(A131=A130,((H130-H131)/(C130-C131)), ""), "null")</f>
        <v>0.47688753399999939</v>
      </c>
      <c r="F130" s="2">
        <v>6325.1210940000001</v>
      </c>
      <c r="G130" s="2">
        <v>69.699996949999999</v>
      </c>
      <c r="H130" s="2">
        <v>95.562137739999997</v>
      </c>
      <c r="I130" s="2">
        <f>IFERROR(ROUND(H130,0),"null")</f>
        <v>96</v>
      </c>
      <c r="J130" s="2" t="str">
        <f>IF(AND(A131=A130,I130=100,I131=100),"full access", " ")</f>
        <v xml:space="preserve"> </v>
      </c>
      <c r="K130" s="2">
        <v>0.58047977699999997</v>
      </c>
      <c r="L130" s="2">
        <v>1.1619505450000001</v>
      </c>
      <c r="M130" s="2">
        <v>2.6954319419999999</v>
      </c>
      <c r="N130" s="2">
        <v>87.961214319999996</v>
      </c>
      <c r="O130" s="2">
        <f>IFERROR(ROUND(N130,0),"null")</f>
        <v>88</v>
      </c>
      <c r="P130" s="2" t="str">
        <f>IF(AND(A130=A131,O130=100,O131=100),"full access"," ")</f>
        <v xml:space="preserve"> </v>
      </c>
      <c r="Q130" s="2">
        <f>IFERROR(IF(A131=A130,((N130-N131)/(C130-C131)),""),"null")</f>
        <v>1.0986361520000003</v>
      </c>
      <c r="R130" s="2">
        <v>1.734743718</v>
      </c>
      <c r="S130" s="2">
        <v>2.4810339560000001</v>
      </c>
      <c r="T130" s="2">
        <v>7.8230080050000002</v>
      </c>
      <c r="U130" s="2">
        <v>98.866417850000005</v>
      </c>
      <c r="V130" s="2">
        <f>IFERROR(ROUND(U130,0),"null")</f>
        <v>99</v>
      </c>
      <c r="W130" s="2" t="str">
        <f>IF(AND(A130=A131,V130=100,V131=100),"full access","")</f>
        <v/>
      </c>
      <c r="X130" s="2">
        <f>IFERROR(IF(A131=A130,((U130-U131)/(C130-C131)),""),"null")</f>
        <v>0.14089043199999765</v>
      </c>
      <c r="Y130" s="2">
        <v>7.8697977569999994E-2</v>
      </c>
      <c r="Z130" s="2">
        <v>0.58851288960000003</v>
      </c>
      <c r="AA130" s="2">
        <v>0.4663712861</v>
      </c>
      <c r="AB130" s="2">
        <f>IFERROR(IF(A131=A130, Q130-X130, ""), "null")</f>
        <v>0.95774572000000269</v>
      </c>
    </row>
    <row r="131" spans="1:28">
      <c r="A131" s="2" t="s">
        <v>106</v>
      </c>
      <c r="B131" s="2" t="str">
        <f>VLOOKUP(A131,Regions!A:B,2,0)</f>
        <v>Latin America &amp; Caribbean</v>
      </c>
      <c r="C131" s="2">
        <v>2020</v>
      </c>
      <c r="D131" s="2" t="str">
        <f>IF(A132=A131,ABS(C132-C131),"")</f>
        <v/>
      </c>
      <c r="E131" s="2" t="str">
        <f>IFERROR(IF(A132=A131,((H131-H132)/(C131-C132)), ""), "null")</f>
        <v/>
      </c>
      <c r="F131" s="2">
        <v>6486.201172</v>
      </c>
      <c r="G131" s="2">
        <v>73.444000239999994</v>
      </c>
      <c r="H131" s="2">
        <v>97.946575409999994</v>
      </c>
      <c r="I131" s="2">
        <f>IFERROR(ROUND(H131,0),"null")</f>
        <v>98</v>
      </c>
      <c r="J131" s="2" t="str">
        <f>IF(AND(A132=A131,I131=100,I132=100),"full access", " ")</f>
        <v xml:space="preserve"> </v>
      </c>
      <c r="K131" s="2">
        <v>0.20726323190000001</v>
      </c>
      <c r="L131" s="2">
        <v>0.31517399689999998</v>
      </c>
      <c r="M131" s="2">
        <v>1.530987366</v>
      </c>
      <c r="N131" s="2">
        <v>93.454395079999998</v>
      </c>
      <c r="O131" s="2">
        <f>IFERROR(ROUND(N131,0),"null")</f>
        <v>93</v>
      </c>
      <c r="P131" s="2" t="str">
        <f>IF(AND(A131=A132,O131=100,O132=100),"full access"," ")</f>
        <v xml:space="preserve"> </v>
      </c>
      <c r="Q131" s="2" t="str">
        <f>IFERROR(IF(A132=A131,((N131-N132)/(C131-C132)),""),"null")</f>
        <v/>
      </c>
      <c r="R131" s="2">
        <v>0.78047620490000003</v>
      </c>
      <c r="S131" s="2">
        <v>0</v>
      </c>
      <c r="T131" s="2">
        <v>5.7651287120000001</v>
      </c>
      <c r="U131" s="2">
        <v>99.570870009999993</v>
      </c>
      <c r="V131" s="2">
        <f>IFERROR(ROUND(U131,0),"null")</f>
        <v>100</v>
      </c>
      <c r="W131" s="2" t="str">
        <f>IF(AND(A131=A132,V131=100,V132=100),"full access","")</f>
        <v/>
      </c>
      <c r="X131" s="2" t="str">
        <f>IFERROR(IF(A132=A131,((U131-U132)/(C131-C132)),""),"null")</f>
        <v/>
      </c>
      <c r="Y131" s="2">
        <v>0</v>
      </c>
      <c r="Z131" s="2">
        <v>0.42912999439999999</v>
      </c>
      <c r="AA131" s="2">
        <v>0</v>
      </c>
      <c r="AB131" s="2" t="str">
        <f>IFERROR(IF(A132=A131, Q131-X131, ""), "null")</f>
        <v/>
      </c>
    </row>
    <row r="132" spans="1:28">
      <c r="A132" s="2" t="s">
        <v>107</v>
      </c>
      <c r="B132" s="2" t="str">
        <f>VLOOKUP(A132,Regions!A:B,2,0)</f>
        <v>Sub-Saharan Africa</v>
      </c>
      <c r="C132" s="2">
        <v>2015</v>
      </c>
      <c r="D132" s="2">
        <f>IF(A133=A132,ABS(C133-C132),"")</f>
        <v>2</v>
      </c>
      <c r="E132" s="2">
        <f>IFERROR(IF(A133=A132,((H132-H133)/(C132-C133)), ""), "null")</f>
        <v>0.24360720499999644</v>
      </c>
      <c r="F132" s="2">
        <v>1168.5749510000001</v>
      </c>
      <c r="G132" s="2">
        <v>70.616004939999996</v>
      </c>
      <c r="H132" s="2">
        <v>64.178601650000004</v>
      </c>
      <c r="I132" s="2">
        <f>IFERROR(ROUND(H132,0),"null")</f>
        <v>64</v>
      </c>
      <c r="J132" s="2" t="str">
        <f>IF(AND(A133=A132,I132=100,I133=100),"full access", " ")</f>
        <v xml:space="preserve"> </v>
      </c>
      <c r="K132" s="2">
        <v>2.9349338359999999</v>
      </c>
      <c r="L132" s="2">
        <v>26.328798880000001</v>
      </c>
      <c r="M132" s="2">
        <v>6.5576656309999999</v>
      </c>
      <c r="N132" s="2">
        <v>30.775369319999999</v>
      </c>
      <c r="O132" s="2">
        <f>IFERROR(ROUND(N132,0),"null")</f>
        <v>31</v>
      </c>
      <c r="P132" s="2" t="str">
        <f>IF(AND(A132=A133,O132=100,O133=100),"full access"," ")</f>
        <v xml:space="preserve"> </v>
      </c>
      <c r="Q132" s="2">
        <f>IFERROR(IF(A133=A132,((N132-N133)/(C132-C133)),""),"null")</f>
        <v>0</v>
      </c>
      <c r="R132" s="2">
        <v>1.353579774</v>
      </c>
      <c r="S132" s="2">
        <v>46.286056360000003</v>
      </c>
      <c r="T132" s="2">
        <v>21.584994550000001</v>
      </c>
      <c r="U132" s="2">
        <v>78.07800598</v>
      </c>
      <c r="V132" s="2">
        <f>IFERROR(ROUND(U132,0),"null")</f>
        <v>78</v>
      </c>
      <c r="W132" s="2" t="str">
        <f>IF(AND(A132=A133,V132=100,V133=100),"full access","")</f>
        <v/>
      </c>
      <c r="X132" s="2">
        <f>IFERROR(IF(A133=A132,((U132-U133)/(C132-C133)),""),"null")</f>
        <v>0</v>
      </c>
      <c r="Y132" s="2">
        <v>3.5929503829999998</v>
      </c>
      <c r="Z132" s="2">
        <v>18.02439455</v>
      </c>
      <c r="AA132" s="2">
        <v>0.30464909089999997</v>
      </c>
      <c r="AB132" s="2">
        <f>IFERROR(IF(A133=A132, Q132-X132, ""), "null")</f>
        <v>0</v>
      </c>
    </row>
    <row r="133" spans="1:28">
      <c r="A133" s="2" t="s">
        <v>107</v>
      </c>
      <c r="B133" s="2" t="str">
        <f>VLOOKUP(A133,Regions!A:B,2,0)</f>
        <v>Sub-Saharan Africa</v>
      </c>
      <c r="C133" s="2">
        <v>2017</v>
      </c>
      <c r="D133" s="2" t="str">
        <f>IF(A134=A133,ABS(C134-C133),"")</f>
        <v/>
      </c>
      <c r="E133" s="2" t="str">
        <f>IFERROR(IF(A134=A133,((H133-H134)/(C133-C134)), ""), "null")</f>
        <v/>
      </c>
      <c r="F133" s="2">
        <v>1262.008057</v>
      </c>
      <c r="G133" s="2">
        <v>71.645996089999997</v>
      </c>
      <c r="H133" s="2">
        <v>64.665816059999997</v>
      </c>
      <c r="I133" s="2">
        <f>IFERROR(ROUND(H133,0),"null")</f>
        <v>65</v>
      </c>
      <c r="J133" s="2" t="str">
        <f>IF(AND(A134=A133,I133=100,I134=100),"full access", " ")</f>
        <v xml:space="preserve"> </v>
      </c>
      <c r="K133" s="2">
        <v>2.957999225</v>
      </c>
      <c r="L133" s="2">
        <v>26.037706329999999</v>
      </c>
      <c r="M133" s="2">
        <v>6.3384783860000002</v>
      </c>
      <c r="N133" s="2">
        <v>30.775369319999999</v>
      </c>
      <c r="O133" s="2">
        <f>IFERROR(ROUND(N133,0),"null")</f>
        <v>31</v>
      </c>
      <c r="P133" s="2" t="str">
        <f>IF(AND(A133=A134,O133=100,O134=100),"full access"," ")</f>
        <v xml:space="preserve"> </v>
      </c>
      <c r="Q133" s="2" t="str">
        <f>IFERROR(IF(A134=A133,((N133-N134)/(C133-C134)),""),"null")</f>
        <v/>
      </c>
      <c r="R133" s="2">
        <v>1.353579774</v>
      </c>
      <c r="S133" s="2">
        <v>46.286056360000003</v>
      </c>
      <c r="T133" s="2">
        <v>21.584994550000001</v>
      </c>
      <c r="U133" s="2">
        <v>78.07800598</v>
      </c>
      <c r="V133" s="2">
        <f>IFERROR(ROUND(U133,0),"null")</f>
        <v>78</v>
      </c>
      <c r="W133" s="2" t="str">
        <f>IF(AND(A133=A134,V133=100,V134=100),"full access","")</f>
        <v/>
      </c>
      <c r="X133" s="2" t="str">
        <f>IFERROR(IF(A134=A133,((U133-U134)/(C133-C134)),""),"null")</f>
        <v/>
      </c>
      <c r="Y133" s="2">
        <v>3.5929503829999998</v>
      </c>
      <c r="Z133" s="2">
        <v>18.02439455</v>
      </c>
      <c r="AA133" s="2">
        <v>0.30464909089999997</v>
      </c>
      <c r="AB133" s="2" t="str">
        <f>IFERROR(IF(A134=A133, Q133-X133, ""), "null")</f>
        <v/>
      </c>
    </row>
    <row r="134" spans="1:28">
      <c r="A134" s="2" t="s">
        <v>108</v>
      </c>
      <c r="B134" s="2" t="str">
        <f>VLOOKUP(A134,Regions!A:B,2,0)</f>
        <v>Sub-Saharan Africa</v>
      </c>
      <c r="C134" s="2">
        <v>2015</v>
      </c>
      <c r="D134" s="2">
        <f>IF(A135=A134,ABS(C135-C134),"")</f>
        <v>1</v>
      </c>
      <c r="E134" s="2">
        <f>IFERROR(IF(A135=A134,((H134-H135)/(C134-C135)), ""), "null")</f>
        <v>0.38462665000000129</v>
      </c>
      <c r="F134" s="2">
        <v>3342.818115</v>
      </c>
      <c r="G134" s="2">
        <v>38.206001280000002</v>
      </c>
      <c r="H134" s="2">
        <v>51.465093529999997</v>
      </c>
      <c r="I134" s="2">
        <f>IFERROR(ROUND(H134,0),"null")</f>
        <v>51</v>
      </c>
      <c r="J134" s="2" t="str">
        <f>IF(AND(A135=A134,I134=100,I135=100),"full access", " ")</f>
        <v xml:space="preserve"> </v>
      </c>
      <c r="K134" s="2">
        <v>17.707633340000001</v>
      </c>
      <c r="L134" s="2">
        <v>13.55609825</v>
      </c>
      <c r="M134" s="2">
        <v>17.27117488</v>
      </c>
      <c r="N134" s="2">
        <v>27.801576470000001</v>
      </c>
      <c r="O134" s="2">
        <f>IFERROR(ROUND(N134,0),"null")</f>
        <v>28</v>
      </c>
      <c r="P134" s="2" t="str">
        <f>IF(AND(A134=A135,O134=100,O135=100),"full access"," ")</f>
        <v xml:space="preserve"> </v>
      </c>
      <c r="Q134" s="2">
        <f>IFERROR(IF(A135=A134,((N134-N135)/(C134-C135)),""),"null")</f>
        <v>0</v>
      </c>
      <c r="R134" s="2">
        <v>24.49842353</v>
      </c>
      <c r="S134" s="2">
        <v>20.074999999999999</v>
      </c>
      <c r="T134" s="2">
        <v>27.625</v>
      </c>
      <c r="U134" s="2">
        <v>89.738224529999997</v>
      </c>
      <c r="V134" s="2">
        <f>IFERROR(ROUND(U134,0),"null")</f>
        <v>90</v>
      </c>
      <c r="W134" s="2" t="str">
        <f>IF(AND(A134=A135,V134=100,V135=100),"full access","")</f>
        <v/>
      </c>
      <c r="X134" s="2">
        <f>IFERROR(IF(A135=A134,((U134-U135)/(C134-C135)),""),"null")</f>
        <v>0</v>
      </c>
      <c r="Y134" s="2">
        <v>6.7242754739999997</v>
      </c>
      <c r="Z134" s="2">
        <v>3.0125000000000002</v>
      </c>
      <c r="AA134" s="2">
        <v>0.52500000000000002</v>
      </c>
      <c r="AB134" s="2">
        <f>IFERROR(IF(A135=A134, Q134-X134, ""), "null")</f>
        <v>0</v>
      </c>
    </row>
    <row r="135" spans="1:28">
      <c r="A135" s="2" t="s">
        <v>108</v>
      </c>
      <c r="B135" s="2" t="str">
        <f>VLOOKUP(A135,Regions!A:B,2,0)</f>
        <v>Sub-Saharan Africa</v>
      </c>
      <c r="C135" s="2">
        <v>2016</v>
      </c>
      <c r="D135" s="2" t="str">
        <f>IF(A136=A135,ABS(C136-C135),"")</f>
        <v/>
      </c>
      <c r="E135" s="2" t="str">
        <f>IFERROR(IF(A136=A135,((H135-H136)/(C135-C136)), ""), "null")</f>
        <v/>
      </c>
      <c r="F135" s="2">
        <v>3376.5581050000001</v>
      </c>
      <c r="G135" s="2">
        <v>38.826999659999998</v>
      </c>
      <c r="H135" s="2">
        <v>51.849720179999998</v>
      </c>
      <c r="I135" s="2">
        <f>IFERROR(ROUND(H135,0),"null")</f>
        <v>52</v>
      </c>
      <c r="J135" s="2" t="str">
        <f>IF(AND(A136=A135,I135=100,I136=100),"full access", " ")</f>
        <v xml:space="preserve"> </v>
      </c>
      <c r="K135" s="2">
        <v>17.59725585</v>
      </c>
      <c r="L135" s="2">
        <v>13.45014014</v>
      </c>
      <c r="M135" s="2">
        <v>17.102883840000001</v>
      </c>
      <c r="N135" s="2">
        <v>27.801576470000001</v>
      </c>
      <c r="O135" s="2">
        <f>IFERROR(ROUND(N135,0),"null")</f>
        <v>28</v>
      </c>
      <c r="P135" s="2" t="str">
        <f>IF(AND(A135=A136,O135=100,O136=100),"full access"," ")</f>
        <v xml:space="preserve"> </v>
      </c>
      <c r="Q135" s="2" t="str">
        <f>IFERROR(IF(A136=A135,((N135-N136)/(C135-C136)),""),"null")</f>
        <v/>
      </c>
      <c r="R135" s="2">
        <v>24.49842353</v>
      </c>
      <c r="S135" s="2">
        <v>20.074999999999999</v>
      </c>
      <c r="T135" s="2">
        <v>27.625</v>
      </c>
      <c r="U135" s="2">
        <v>89.738224529999997</v>
      </c>
      <c r="V135" s="2">
        <f>IFERROR(ROUND(U135,0),"null")</f>
        <v>90</v>
      </c>
      <c r="W135" s="2" t="str">
        <f>IF(AND(A135=A136,V135=100,V136=100),"full access","")</f>
        <v/>
      </c>
      <c r="X135" s="2" t="str">
        <f>IFERROR(IF(A136=A135,((U135-U136)/(C135-C136)),""),"null")</f>
        <v/>
      </c>
      <c r="Y135" s="2">
        <v>6.7242754739999997</v>
      </c>
      <c r="Z135" s="2">
        <v>3.0125000000000002</v>
      </c>
      <c r="AA135" s="2">
        <v>0.52500000000000002</v>
      </c>
      <c r="AB135" s="2" t="str">
        <f>IFERROR(IF(A136=A135, Q135-X135, ""), "null")</f>
        <v/>
      </c>
    </row>
    <row r="136" spans="1:28">
      <c r="A136" s="2" t="s">
        <v>109</v>
      </c>
      <c r="B136" s="2" t="str">
        <f>VLOOKUP(A136,Regions!A:B,2,0)</f>
        <v>Europe &amp; Central Asia</v>
      </c>
      <c r="C136" s="2">
        <v>2015</v>
      </c>
      <c r="D136" s="2">
        <f>IF(A137=A136,ABS(C137-C136),"")</f>
        <v>5</v>
      </c>
      <c r="E136" s="2">
        <f>IFERROR(IF(A137=A136,((H136-H137)/(C136-C137)), ""), "null")</f>
        <v>-3.2105157999998822E-2</v>
      </c>
      <c r="F136" s="2">
        <v>1315.329956</v>
      </c>
      <c r="G136" s="2">
        <v>68.416000370000006</v>
      </c>
      <c r="H136" s="2">
        <v>99.751307569999994</v>
      </c>
      <c r="I136" s="2">
        <f>IFERROR(ROUND(H136,0),"null")</f>
        <v>100</v>
      </c>
      <c r="J136" s="2" t="str">
        <f>IF(AND(A137=A136,I136=100,I137=100),"full access", " ")</f>
        <v>full access</v>
      </c>
      <c r="K136" s="2">
        <v>0</v>
      </c>
      <c r="L136" s="2">
        <v>0.24869242890000001</v>
      </c>
      <c r="M136" s="2">
        <v>0</v>
      </c>
      <c r="N136" s="2">
        <v>99.244115809999997</v>
      </c>
      <c r="O136" s="2">
        <f>IFERROR(ROUND(N136,0),"null")</f>
        <v>99</v>
      </c>
      <c r="P136" s="2" t="str">
        <f>IF(AND(A136=A137,O136=100,O137=100),"full access"," ")</f>
        <v xml:space="preserve"> </v>
      </c>
      <c r="Q136" s="2" t="str">
        <f>IFERROR(IF(A137=A136,((N136-N137)/(C136-C137)),""),"null")</f>
        <v>null</v>
      </c>
      <c r="R136" s="2">
        <v>0</v>
      </c>
      <c r="S136" s="2">
        <v>0.75588419029999998</v>
      </c>
      <c r="T136" s="2">
        <v>0</v>
      </c>
      <c r="U136" s="2">
        <v>99.98545421</v>
      </c>
      <c r="V136" s="2">
        <f>IFERROR(ROUND(U136,0),"null")</f>
        <v>100</v>
      </c>
      <c r="W136" s="2" t="str">
        <f>IF(AND(A136=A137,V136=100,V137=100),"full access","")</f>
        <v>full access</v>
      </c>
      <c r="X136" s="2">
        <f>IFERROR(IF(A137=A136,((U136-U137)/(C136-C137)),""),"null")</f>
        <v>0</v>
      </c>
      <c r="Y136" s="2">
        <v>0</v>
      </c>
      <c r="Z136" s="2">
        <v>1.454579307E-2</v>
      </c>
      <c r="AA136" s="2">
        <v>0</v>
      </c>
      <c r="AB136" s="2" t="str">
        <f>IFERROR(IF(A137=A136, Q136-X136, ""), "null")</f>
        <v>null</v>
      </c>
    </row>
    <row r="137" spans="1:28">
      <c r="A137" s="2" t="s">
        <v>109</v>
      </c>
      <c r="B137" s="2" t="str">
        <f>VLOOKUP(A137,Regions!A:B,2,0)</f>
        <v>Europe &amp; Central Asia</v>
      </c>
      <c r="C137" s="2">
        <v>2020</v>
      </c>
      <c r="D137" s="2" t="str">
        <f>IF(A138=A137,ABS(C138-C137),"")</f>
        <v/>
      </c>
      <c r="E137" s="2" t="str">
        <f>IFERROR(IF(A138=A137,((H137-H138)/(C137-C138)), ""), "null")</f>
        <v/>
      </c>
      <c r="F137" s="2">
        <v>1326.5389399999999</v>
      </c>
      <c r="G137" s="2">
        <v>69.229003910000003</v>
      </c>
      <c r="H137" s="2">
        <v>99.59078178</v>
      </c>
      <c r="I137" s="2">
        <f>IFERROR(ROUND(H137,0),"null")</f>
        <v>100</v>
      </c>
      <c r="J137" s="2" t="str">
        <f>IF(AND(A138=A137,I137=100,I138=100),"full access", " ")</f>
        <v xml:space="preserve"> </v>
      </c>
      <c r="K137" s="2">
        <v>0</v>
      </c>
      <c r="L137" s="2">
        <v>0.40921822320000001</v>
      </c>
      <c r="M137" s="2">
        <v>0</v>
      </c>
      <c r="N137" s="2" t="s">
        <v>45</v>
      </c>
      <c r="O137" s="2" t="str">
        <f>IFERROR(ROUND(N137,0),"null")</f>
        <v>null</v>
      </c>
      <c r="P137" s="2" t="str">
        <f>IF(AND(A137=A138,O137=100,O138=100),"full access"," ")</f>
        <v xml:space="preserve"> </v>
      </c>
      <c r="Q137" s="2" t="str">
        <f>IFERROR(IF(A138=A137,((N137-N138)/(C137-C138)),""),"null")</f>
        <v/>
      </c>
      <c r="R137" s="2" t="s">
        <v>45</v>
      </c>
      <c r="S137" s="2" t="s">
        <v>45</v>
      </c>
      <c r="T137" s="2" t="s">
        <v>45</v>
      </c>
      <c r="U137" s="2">
        <v>99.98545421</v>
      </c>
      <c r="V137" s="2">
        <f>IFERROR(ROUND(U137,0),"null")</f>
        <v>100</v>
      </c>
      <c r="W137" s="2" t="str">
        <f>IF(AND(A137=A138,V137=100,V138=100),"full access","")</f>
        <v/>
      </c>
      <c r="X137" s="2" t="str">
        <f>IFERROR(IF(A138=A137,((U137-U138)/(C137-C138)),""),"null")</f>
        <v/>
      </c>
      <c r="Y137" s="2">
        <v>0</v>
      </c>
      <c r="Z137" s="2">
        <v>1.454579307E-2</v>
      </c>
      <c r="AA137" s="2">
        <v>0</v>
      </c>
      <c r="AB137" s="2" t="str">
        <f>IFERROR(IF(A138=A137, Q137-X137, ""), "null")</f>
        <v/>
      </c>
    </row>
    <row r="138" spans="1:28">
      <c r="A138" s="2" t="s">
        <v>110</v>
      </c>
      <c r="B138" s="2" t="str">
        <f>VLOOKUP(A138,Regions!A:B,2,0)</f>
        <v>Sub-Saharan Africa</v>
      </c>
      <c r="C138" s="2">
        <v>2015</v>
      </c>
      <c r="D138" s="2">
        <f>IF(A139=A138,ABS(C139-C138),"")</f>
        <v>5</v>
      </c>
      <c r="E138" s="2">
        <f>IFERROR(IF(A139=A138,((H138-H139)/(C138-C139)), ""), "null")</f>
        <v>0.80982314599999938</v>
      </c>
      <c r="F138" s="2">
        <v>1104.0379640000001</v>
      </c>
      <c r="G138" s="2">
        <v>23.299999239999998</v>
      </c>
      <c r="H138" s="2">
        <v>66.703955219999997</v>
      </c>
      <c r="I138" s="2">
        <f>IFERROR(ROUND(H138,0),"null")</f>
        <v>67</v>
      </c>
      <c r="J138" s="2" t="str">
        <f>IF(AND(A139=A138,I138=100,I139=100),"full access", " ")</f>
        <v xml:space="preserve"> </v>
      </c>
      <c r="K138" s="2">
        <v>8.7676173330000005</v>
      </c>
      <c r="L138" s="2">
        <v>10.89011026</v>
      </c>
      <c r="M138" s="2">
        <v>13.63831719</v>
      </c>
      <c r="N138" s="2">
        <v>58.124984900000001</v>
      </c>
      <c r="O138" s="2">
        <f>IFERROR(ROUND(N138,0),"null")</f>
        <v>58</v>
      </c>
      <c r="P138" s="2" t="str">
        <f>IF(AND(A138=A139,O138=100,O139=100),"full access"," ")</f>
        <v xml:space="preserve"> </v>
      </c>
      <c r="Q138" s="2">
        <f>IFERROR(IF(A139=A138,((N138-N139)/(C138-C139)),""),"null")</f>
        <v>0.86829276799999922</v>
      </c>
      <c r="R138" s="2">
        <v>11.182049299999999</v>
      </c>
      <c r="S138" s="2">
        <v>13.43987898</v>
      </c>
      <c r="T138" s="2">
        <v>17.253086830000001</v>
      </c>
      <c r="U138" s="2">
        <v>94.944600129999998</v>
      </c>
      <c r="V138" s="2">
        <f>IFERROR(ROUND(U138,0),"null")</f>
        <v>95</v>
      </c>
      <c r="W138" s="2" t="str">
        <f>IF(AND(A138=A139,V138=100,V139=100),"full access","")</f>
        <v/>
      </c>
      <c r="X138" s="2">
        <f>IFERROR(IF(A139=A138,((U138-U139)/(C138-C139)),""),"null")</f>
        <v>0.36103258400000016</v>
      </c>
      <c r="Y138" s="2">
        <v>0.81968032219999998</v>
      </c>
      <c r="Z138" s="2">
        <v>2.4966655609999999</v>
      </c>
      <c r="AA138" s="2">
        <v>1.7390539899999999</v>
      </c>
      <c r="AB138" s="2">
        <f>IFERROR(IF(A139=A138, Q138-X138, ""), "null")</f>
        <v>0.50726018399999906</v>
      </c>
    </row>
    <row r="139" spans="1:28">
      <c r="A139" s="2" t="s">
        <v>110</v>
      </c>
      <c r="B139" s="2" t="str">
        <f>VLOOKUP(A139,Regions!A:B,2,0)</f>
        <v>Sub-Saharan Africa</v>
      </c>
      <c r="C139" s="2">
        <v>2020</v>
      </c>
      <c r="D139" s="2" t="str">
        <f>IF(A140=A139,ABS(C140-C139),"")</f>
        <v/>
      </c>
      <c r="E139" s="2" t="str">
        <f>IFERROR(IF(A140=A139,((H139-H140)/(C139-C140)), ""), "null")</f>
        <v/>
      </c>
      <c r="F139" s="2">
        <v>1160.1639399999999</v>
      </c>
      <c r="G139" s="2">
        <v>24.17100143</v>
      </c>
      <c r="H139" s="2">
        <v>70.753070949999994</v>
      </c>
      <c r="I139" s="2">
        <f>IFERROR(ROUND(H139,0),"null")</f>
        <v>71</v>
      </c>
      <c r="J139" s="2" t="str">
        <f>IF(AND(A140=A139,I139=100,I140=100),"full access", " ")</f>
        <v xml:space="preserve"> </v>
      </c>
      <c r="K139" s="2">
        <v>9.5070671630000003</v>
      </c>
      <c r="L139" s="2">
        <v>9.8355679309999999</v>
      </c>
      <c r="M139" s="2">
        <v>9.9042939590000003</v>
      </c>
      <c r="N139" s="2">
        <v>62.466448739999997</v>
      </c>
      <c r="O139" s="2">
        <f>IFERROR(ROUND(N139,0),"null")</f>
        <v>62</v>
      </c>
      <c r="P139" s="2" t="str">
        <f>IF(AND(A139=A140,O139=100,O140=100),"full access"," ")</f>
        <v xml:space="preserve"> </v>
      </c>
      <c r="Q139" s="2" t="str">
        <f>IFERROR(IF(A140=A139,((N139-N140)/(C139-C140)),""),"null")</f>
        <v/>
      </c>
      <c r="R139" s="2">
        <v>12.29969513</v>
      </c>
      <c r="S139" s="2">
        <v>12.45046093</v>
      </c>
      <c r="T139" s="2">
        <v>12.78339519</v>
      </c>
      <c r="U139" s="2">
        <v>96.749763049999999</v>
      </c>
      <c r="V139" s="2">
        <f>IFERROR(ROUND(U139,0),"null")</f>
        <v>97</v>
      </c>
      <c r="W139" s="2" t="str">
        <f>IF(AND(A139=A140,V139=100,V140=100),"full access","")</f>
        <v/>
      </c>
      <c r="X139" s="2" t="str">
        <f>IFERROR(IF(A140=A139,((U139-U140)/(C139-C140)),""),"null")</f>
        <v/>
      </c>
      <c r="Y139" s="2">
        <v>0.74606447310000001</v>
      </c>
      <c r="Z139" s="2">
        <v>1.6321642439999999</v>
      </c>
      <c r="AA139" s="2">
        <v>0.8720082294</v>
      </c>
      <c r="AB139" s="2" t="str">
        <f>IFERROR(IF(A140=A139, Q139-X139, ""), "null")</f>
        <v/>
      </c>
    </row>
    <row r="140" spans="1:28">
      <c r="A140" s="2" t="s">
        <v>111</v>
      </c>
      <c r="B140" s="2" t="str">
        <f>VLOOKUP(A140,Regions!A:B,2,0)</f>
        <v>Sub-Saharan Africa</v>
      </c>
      <c r="C140" s="2">
        <v>2015</v>
      </c>
      <c r="D140" s="2">
        <f>IF(A141=A140,ABS(C141-C140),"")</f>
        <v>5</v>
      </c>
      <c r="E140" s="2">
        <f>IFERROR(IF(A141=A140,((H140-H141)/(C140-C141)), ""), "null")</f>
        <v>1.5091011080000001</v>
      </c>
      <c r="F140" s="2">
        <v>100835.4531</v>
      </c>
      <c r="G140" s="2">
        <v>19.428001399999999</v>
      </c>
      <c r="H140" s="2">
        <v>42.070067199999997</v>
      </c>
      <c r="I140" s="2">
        <f>IFERROR(ROUND(H140,0),"null")</f>
        <v>42</v>
      </c>
      <c r="J140" s="2" t="str">
        <f>IF(AND(A141=A140,I140=100,I141=100),"full access", " ")</f>
        <v xml:space="preserve"> </v>
      </c>
      <c r="K140" s="2">
        <v>21.738790269999999</v>
      </c>
      <c r="L140" s="2">
        <v>24.477856150000001</v>
      </c>
      <c r="M140" s="2">
        <v>11.71328639</v>
      </c>
      <c r="N140" s="2">
        <v>32.451767429999997</v>
      </c>
      <c r="O140" s="2">
        <f>IFERROR(ROUND(N140,0),"null")</f>
        <v>32</v>
      </c>
      <c r="P140" s="2" t="str">
        <f>IF(AND(A140=A141,O140=100,O141=100),"full access"," ")</f>
        <v xml:space="preserve"> </v>
      </c>
      <c r="Q140" s="2">
        <f>IFERROR(IF(A141=A140,((N140-N141)/(C140-C141)),""),"null")</f>
        <v>1.5156743520000007</v>
      </c>
      <c r="R140" s="2">
        <v>23.598552099999999</v>
      </c>
      <c r="S140" s="2">
        <v>29.78155581</v>
      </c>
      <c r="T140" s="2">
        <v>14.168124669999999</v>
      </c>
      <c r="U140" s="2">
        <v>81.959176540000001</v>
      </c>
      <c r="V140" s="2">
        <f>IFERROR(ROUND(U140,0),"null")</f>
        <v>82</v>
      </c>
      <c r="W140" s="2" t="str">
        <f>IF(AND(A140=A141,V140=100,V141=100),"full access","")</f>
        <v/>
      </c>
      <c r="X140" s="2">
        <f>IFERROR(IF(A141=A140,((U140-U141)/(C140-C141)),""),"null")</f>
        <v>0.4507303239999999</v>
      </c>
      <c r="Y140" s="2">
        <v>14.02596733</v>
      </c>
      <c r="Z140" s="2">
        <v>2.4822996910000001</v>
      </c>
      <c r="AA140" s="2">
        <v>1.5325564389999999</v>
      </c>
      <c r="AB140" s="2">
        <f>IFERROR(IF(A141=A140, Q140-X140, ""), "null")</f>
        <v>1.0649440280000007</v>
      </c>
    </row>
    <row r="141" spans="1:28">
      <c r="A141" s="2" t="s">
        <v>111</v>
      </c>
      <c r="B141" s="2" t="str">
        <f>VLOOKUP(A141,Regions!A:B,2,0)</f>
        <v>Sub-Saharan Africa</v>
      </c>
      <c r="C141" s="2">
        <v>2020</v>
      </c>
      <c r="D141" s="2" t="str">
        <f>IF(A142=A141,ABS(C142-C141),"")</f>
        <v/>
      </c>
      <c r="E141" s="2" t="str">
        <f>IFERROR(IF(A142=A141,((H141-H142)/(C141-C142)), ""), "null")</f>
        <v/>
      </c>
      <c r="F141" s="2">
        <v>114963.58590000001</v>
      </c>
      <c r="G141" s="2">
        <v>21.69499969</v>
      </c>
      <c r="H141" s="2">
        <v>49.615572739999998</v>
      </c>
      <c r="I141" s="2">
        <f>IFERROR(ROUND(H141,0),"null")</f>
        <v>50</v>
      </c>
      <c r="J141" s="2" t="str">
        <f>IF(AND(A142=A141,I141=100,I142=100),"full access", " ")</f>
        <v xml:space="preserve"> </v>
      </c>
      <c r="K141" s="2">
        <v>26.740719639999998</v>
      </c>
      <c r="L141" s="2">
        <v>18.635060129999999</v>
      </c>
      <c r="M141" s="2">
        <v>5.0086474860000001</v>
      </c>
      <c r="N141" s="2">
        <v>40.03013919</v>
      </c>
      <c r="O141" s="2">
        <f>IFERROR(ROUND(N141,0),"null")</f>
        <v>40</v>
      </c>
      <c r="P141" s="2" t="str">
        <f>IF(AND(A141=A142,O141=100,O142=100),"full access"," ")</f>
        <v xml:space="preserve"> </v>
      </c>
      <c r="Q141" s="2" t="str">
        <f>IFERROR(IF(A142=A141,((N141-N142)/(C141-C142)),""),"null")</f>
        <v/>
      </c>
      <c r="R141" s="2">
        <v>30.186683339999998</v>
      </c>
      <c r="S141" s="2">
        <v>23.49561327</v>
      </c>
      <c r="T141" s="2">
        <v>6.2875642029999996</v>
      </c>
      <c r="U141" s="2">
        <v>84.212828160000001</v>
      </c>
      <c r="V141" s="2">
        <f>IFERROR(ROUND(U141,0),"null")</f>
        <v>84</v>
      </c>
      <c r="W141" s="2" t="str">
        <f>IF(AND(A141=A142,V141=100,V142=100),"full access","")</f>
        <v/>
      </c>
      <c r="X141" s="2" t="str">
        <f>IFERROR(IF(A142=A141,((U141-U142)/(C141-C142)),""),"null")</f>
        <v/>
      </c>
      <c r="Y141" s="2">
        <v>14.30300858</v>
      </c>
      <c r="Z141" s="2">
        <v>1.0915823549999999</v>
      </c>
      <c r="AA141" s="2">
        <v>0.39258089600000001</v>
      </c>
      <c r="AB141" s="2" t="str">
        <f>IFERROR(IF(A142=A141, Q141-X141, ""), "null")</f>
        <v/>
      </c>
    </row>
    <row r="142" spans="1:28">
      <c r="A142" s="2" t="s">
        <v>112</v>
      </c>
      <c r="B142" s="2" t="str">
        <f>VLOOKUP(A142,Regions!A:B,2,0)</f>
        <v>Europe &amp; Central Asia</v>
      </c>
      <c r="C142" s="2">
        <v>2015</v>
      </c>
      <c r="D142" s="2">
        <f>IF(A143=A142,ABS(C143-C142),"")</f>
        <v>5</v>
      </c>
      <c r="E142" s="2">
        <f>IFERROR(IF(A143=A142,((H142-H143)/(C142-C143)), ""), "null")</f>
        <v>0</v>
      </c>
      <c r="F142" s="2">
        <v>48.055000309999997</v>
      </c>
      <c r="G142" s="2">
        <v>41.63799667</v>
      </c>
      <c r="H142" s="2">
        <v>100</v>
      </c>
      <c r="I142" s="2">
        <f>IFERROR(ROUND(H142,0),"null")</f>
        <v>100</v>
      </c>
      <c r="J142" s="2" t="str">
        <f>IF(AND(A143=A142,I142=100,I143=100),"full access", " ")</f>
        <v>full access</v>
      </c>
      <c r="K142" s="2">
        <v>0</v>
      </c>
      <c r="L142" s="2">
        <v>0</v>
      </c>
      <c r="M142" s="2">
        <v>0</v>
      </c>
      <c r="N142" s="2" t="s">
        <v>45</v>
      </c>
      <c r="O142" s="2" t="str">
        <f>IFERROR(ROUND(N142,0),"null")</f>
        <v>null</v>
      </c>
      <c r="P142" s="2" t="str">
        <f>IF(AND(A142=A143,O142=100,O143=100),"full access"," ")</f>
        <v xml:space="preserve"> </v>
      </c>
      <c r="Q142" s="2" t="str">
        <f>IFERROR(IF(A143=A142,((N142-N143)/(C142-C143)),""),"null")</f>
        <v>null</v>
      </c>
      <c r="R142" s="2" t="s">
        <v>45</v>
      </c>
      <c r="S142" s="2" t="s">
        <v>45</v>
      </c>
      <c r="T142" s="2" t="s">
        <v>45</v>
      </c>
      <c r="U142" s="2" t="s">
        <v>45</v>
      </c>
      <c r="V142" s="2" t="str">
        <f>IFERROR(ROUND(U142,0),"null")</f>
        <v>null</v>
      </c>
      <c r="W142" s="2" t="str">
        <f>IF(AND(A142=A143,V142=100,V143=100),"full access","")</f>
        <v/>
      </c>
      <c r="X142" s="2" t="str">
        <f>IFERROR(IF(A143=A142,((U142-U143)/(C142-C143)),""),"null")</f>
        <v>null</v>
      </c>
      <c r="Y142" s="2" t="s">
        <v>45</v>
      </c>
      <c r="Z142" s="2" t="s">
        <v>45</v>
      </c>
      <c r="AA142" s="2" t="s">
        <v>45</v>
      </c>
      <c r="AB142" s="2" t="str">
        <f>IFERROR(IF(A143=A142, Q142-X142, ""), "null")</f>
        <v>null</v>
      </c>
    </row>
    <row r="143" spans="1:28">
      <c r="A143" s="2" t="s">
        <v>112</v>
      </c>
      <c r="B143" s="2" t="str">
        <f>VLOOKUP(A143,Regions!A:B,2,0)</f>
        <v>Europe &amp; Central Asia</v>
      </c>
      <c r="C143" s="2">
        <v>2020</v>
      </c>
      <c r="D143" s="2" t="str">
        <f>IF(A144=A143,ABS(C144-C143),"")</f>
        <v/>
      </c>
      <c r="E143" s="2" t="str">
        <f>IFERROR(IF(A144=A143,((H143-H144)/(C143-C144)), ""), "null")</f>
        <v/>
      </c>
      <c r="F143" s="2">
        <v>48.865001679999999</v>
      </c>
      <c r="G143" s="2">
        <v>42.397998809999997</v>
      </c>
      <c r="H143" s="2">
        <v>100</v>
      </c>
      <c r="I143" s="2">
        <f>IFERROR(ROUND(H143,0),"null")</f>
        <v>100</v>
      </c>
      <c r="J143" s="2" t="str">
        <f>IF(AND(A144=A143,I143=100,I144=100),"full access", " ")</f>
        <v xml:space="preserve"> </v>
      </c>
      <c r="K143" s="2">
        <v>0</v>
      </c>
      <c r="L143" s="2">
        <v>0</v>
      </c>
      <c r="M143" s="2">
        <v>0</v>
      </c>
      <c r="N143" s="2" t="s">
        <v>45</v>
      </c>
      <c r="O143" s="2" t="str">
        <f>IFERROR(ROUND(N143,0),"null")</f>
        <v>null</v>
      </c>
      <c r="P143" s="2" t="str">
        <f>IF(AND(A143=A144,O143=100,O144=100),"full access"," ")</f>
        <v xml:space="preserve"> </v>
      </c>
      <c r="Q143" s="2" t="str">
        <f>IFERROR(IF(A144=A143,((N143-N144)/(C143-C144)),""),"null")</f>
        <v/>
      </c>
      <c r="R143" s="2" t="s">
        <v>45</v>
      </c>
      <c r="S143" s="2" t="s">
        <v>45</v>
      </c>
      <c r="T143" s="2" t="s">
        <v>45</v>
      </c>
      <c r="U143" s="2" t="s">
        <v>45</v>
      </c>
      <c r="V143" s="2" t="str">
        <f>IFERROR(ROUND(U143,0),"null")</f>
        <v>null</v>
      </c>
      <c r="W143" s="2" t="str">
        <f>IF(AND(A143=A144,V143=100,V144=100),"full access","")</f>
        <v/>
      </c>
      <c r="X143" s="2" t="str">
        <f>IFERROR(IF(A144=A143,((U143-U144)/(C143-C144)),""),"null")</f>
        <v/>
      </c>
      <c r="Y143" s="2" t="s">
        <v>45</v>
      </c>
      <c r="Z143" s="2" t="s">
        <v>45</v>
      </c>
      <c r="AA143" s="2" t="s">
        <v>45</v>
      </c>
      <c r="AB143" s="2" t="str">
        <f>IFERROR(IF(A144=A143, Q143-X143, ""), "null")</f>
        <v/>
      </c>
    </row>
    <row r="144" spans="1:28">
      <c r="A144" s="2" t="s">
        <v>113</v>
      </c>
      <c r="B144" s="2" t="str">
        <f>VLOOKUP(A144,Regions!A:B,2,0)</f>
        <v>Latin America &amp; Caribbean</v>
      </c>
      <c r="C144" s="2">
        <v>2015</v>
      </c>
      <c r="D144" s="2">
        <f>IF(A145=A144,ABS(C145-C144),"")</f>
        <v>5</v>
      </c>
      <c r="E144" s="2">
        <f>IFERROR(IF(A145=A144,((H144-H145)/(C144-C145)), ""), "null")</f>
        <v>9.7784147999999502E-2</v>
      </c>
      <c r="F144" s="2">
        <v>2.8359999660000001</v>
      </c>
      <c r="G144" s="2">
        <v>76.268005369999997</v>
      </c>
      <c r="H144" s="2">
        <v>94.820006660000004</v>
      </c>
      <c r="I144" s="2">
        <f>IFERROR(ROUND(H144,0),"null")</f>
        <v>95</v>
      </c>
      <c r="J144" s="2" t="str">
        <f>IF(AND(A145=A144,I144=100,I145=100),"full access", " ")</f>
        <v xml:space="preserve"> </v>
      </c>
      <c r="K144" s="2">
        <v>0</v>
      </c>
      <c r="L144" s="2">
        <v>5.1799933429999996</v>
      </c>
      <c r="M144" s="2">
        <v>0</v>
      </c>
      <c r="N144" s="2">
        <v>78.172942820000003</v>
      </c>
      <c r="O144" s="2">
        <f>IFERROR(ROUND(N144,0),"null")</f>
        <v>78</v>
      </c>
      <c r="P144" s="2" t="str">
        <f>IF(AND(A144=A145,O144=100,O145=100),"full access"," ")</f>
        <v xml:space="preserve"> </v>
      </c>
      <c r="Q144" s="2">
        <f>IFERROR(IF(A145=A144,((N144-N145)/(C144-C145)),""),"null")</f>
        <v>0</v>
      </c>
      <c r="R144" s="2">
        <v>0</v>
      </c>
      <c r="S144" s="2">
        <v>21.827057180000001</v>
      </c>
      <c r="T144" s="2">
        <v>0</v>
      </c>
      <c r="U144" s="2">
        <v>100</v>
      </c>
      <c r="V144" s="2">
        <f>IFERROR(ROUND(U144,0),"null")</f>
        <v>100</v>
      </c>
      <c r="W144" s="2" t="str">
        <f>IF(AND(A144=A145,V144=100,V145=100),"full access","")</f>
        <v>full access</v>
      </c>
      <c r="X144" s="2">
        <f>IFERROR(IF(A145=A144,((U144-U145)/(C144-C145)),""),"null")</f>
        <v>0</v>
      </c>
      <c r="Y144" s="2">
        <v>0</v>
      </c>
      <c r="Z144" s="2">
        <v>0</v>
      </c>
      <c r="AA144" s="2">
        <v>0</v>
      </c>
      <c r="AB144" s="2">
        <f>IFERROR(IF(A145=A144, Q144-X144, ""), "null")</f>
        <v>0</v>
      </c>
    </row>
    <row r="145" spans="1:28">
      <c r="A145" s="2" t="s">
        <v>113</v>
      </c>
      <c r="B145" s="2" t="str">
        <f>VLOOKUP(A145,Regions!A:B,2,0)</f>
        <v>Latin America &amp; Caribbean</v>
      </c>
      <c r="C145" s="2">
        <v>2020</v>
      </c>
      <c r="D145" s="2" t="str">
        <f>IF(A146=A145,ABS(C146-C145),"")</f>
        <v/>
      </c>
      <c r="E145" s="2" t="str">
        <f>IFERROR(IF(A146=A145,((H145-H146)/(C145-C146)), ""), "null")</f>
        <v/>
      </c>
      <c r="F145" s="2">
        <v>3.4830000399999999</v>
      </c>
      <c r="G145" s="2">
        <v>78.507995609999995</v>
      </c>
      <c r="H145" s="2">
        <v>95.308927400000002</v>
      </c>
      <c r="I145" s="2">
        <f>IFERROR(ROUND(H145,0),"null")</f>
        <v>95</v>
      </c>
      <c r="J145" s="2" t="str">
        <f>IF(AND(A146=A145,I145=100,I146=100),"full access", " ")</f>
        <v xml:space="preserve"> </v>
      </c>
      <c r="K145" s="2">
        <v>0</v>
      </c>
      <c r="L145" s="2">
        <v>4.6910725959999997</v>
      </c>
      <c r="M145" s="2">
        <v>0</v>
      </c>
      <c r="N145" s="2">
        <v>78.172942820000003</v>
      </c>
      <c r="O145" s="2">
        <f>IFERROR(ROUND(N145,0),"null")</f>
        <v>78</v>
      </c>
      <c r="P145" s="2" t="str">
        <f>IF(AND(A145=A146,O145=100,O146=100),"full access"," ")</f>
        <v xml:space="preserve"> </v>
      </c>
      <c r="Q145" s="2" t="str">
        <f>IFERROR(IF(A146=A145,((N145-N146)/(C145-C146)),""),"null")</f>
        <v/>
      </c>
      <c r="R145" s="2">
        <v>0</v>
      </c>
      <c r="S145" s="2">
        <v>21.827057180000001</v>
      </c>
      <c r="T145" s="2">
        <v>0</v>
      </c>
      <c r="U145" s="2">
        <v>100</v>
      </c>
      <c r="V145" s="2">
        <f>IFERROR(ROUND(U145,0),"null")</f>
        <v>100</v>
      </c>
      <c r="W145" s="2" t="str">
        <f>IF(AND(A145=A146,V145=100,V146=100),"full access","")</f>
        <v/>
      </c>
      <c r="X145" s="2" t="str">
        <f>IFERROR(IF(A146=A145,((U145-U146)/(C145-C146)),""),"null")</f>
        <v/>
      </c>
      <c r="Y145" s="2">
        <v>0</v>
      </c>
      <c r="Z145" s="2">
        <v>0</v>
      </c>
      <c r="AA145" s="2">
        <v>0</v>
      </c>
      <c r="AB145" s="2" t="str">
        <f>IFERROR(IF(A146=A145, Q145-X145, ""), "null")</f>
        <v/>
      </c>
    </row>
    <row r="146" spans="1:28">
      <c r="A146" s="2" t="s">
        <v>114</v>
      </c>
      <c r="B146" s="2" t="str">
        <f>VLOOKUP(A146,Regions!A:B,2,0)</f>
        <v>East Asia &amp; Pacific</v>
      </c>
      <c r="C146" s="2">
        <v>2015</v>
      </c>
      <c r="D146" s="2">
        <f>IF(A147=A146,ABS(C147-C146),"")</f>
        <v>5</v>
      </c>
      <c r="E146" s="2">
        <f>IFERROR(IF(A147=A146,((H146-H147)/(C146-C147)), ""), "null")</f>
        <v>7.7013139999991152E-3</v>
      </c>
      <c r="F146" s="2">
        <v>868.63201900000001</v>
      </c>
      <c r="G146" s="2">
        <v>54.725997919999998</v>
      </c>
      <c r="H146" s="2">
        <v>94.262558670000004</v>
      </c>
      <c r="I146" s="2">
        <f>IFERROR(ROUND(H146,0),"null")</f>
        <v>94</v>
      </c>
      <c r="J146" s="2" t="str">
        <f>IF(AND(A147=A146,I146=100,I147=100),"full access", " ")</f>
        <v xml:space="preserve"> </v>
      </c>
      <c r="K146" s="2">
        <v>0</v>
      </c>
      <c r="L146" s="2">
        <v>3.4193659360000002</v>
      </c>
      <c r="M146" s="2">
        <v>2.3180753950000001</v>
      </c>
      <c r="N146" s="2">
        <v>89.378527390000002</v>
      </c>
      <c r="O146" s="2">
        <f>IFERROR(ROUND(N146,0),"null")</f>
        <v>89</v>
      </c>
      <c r="P146" s="2" t="str">
        <f>IF(AND(A146=A147,O146=100,O147=100),"full access"," ")</f>
        <v xml:space="preserve"> </v>
      </c>
      <c r="Q146" s="2">
        <f>IFERROR(IF(A147=A146,((N146-N147)/(C146-C147)),""),"null")</f>
        <v>-5.8100668000000154E-2</v>
      </c>
      <c r="R146" s="2">
        <v>0</v>
      </c>
      <c r="S146" s="2">
        <v>5.8294678109999998</v>
      </c>
      <c r="T146" s="2">
        <v>4.7920047950000004</v>
      </c>
      <c r="U146" s="2">
        <v>98.303044670000006</v>
      </c>
      <c r="V146" s="2">
        <f>IFERROR(ROUND(U146,0),"null")</f>
        <v>98</v>
      </c>
      <c r="W146" s="2" t="str">
        <f>IF(AND(A146=A147,V146=100,V147=100),"full access","")</f>
        <v/>
      </c>
      <c r="X146" s="2">
        <f>IFERROR(IF(A147=A146,((U146-U147)/(C146-C147)),""),"null")</f>
        <v>-2.1760122000000593E-2</v>
      </c>
      <c r="Y146" s="2">
        <v>0</v>
      </c>
      <c r="Z146" s="2">
        <v>1.4255247120000001</v>
      </c>
      <c r="AA146" s="2">
        <v>0.27143061419999998</v>
      </c>
      <c r="AB146" s="2">
        <f>IFERROR(IF(A147=A146, Q146-X146, ""), "null")</f>
        <v>-3.6340545999999557E-2</v>
      </c>
    </row>
    <row r="147" spans="1:28">
      <c r="A147" s="2" t="s">
        <v>114</v>
      </c>
      <c r="B147" s="2" t="str">
        <f>VLOOKUP(A147,Regions!A:B,2,0)</f>
        <v>East Asia &amp; Pacific</v>
      </c>
      <c r="C147" s="2">
        <v>2020</v>
      </c>
      <c r="D147" s="2" t="str">
        <f>IF(A148=A147,ABS(C148-C147),"")</f>
        <v/>
      </c>
      <c r="E147" s="2" t="str">
        <f>IFERROR(IF(A148=A147,((H147-H148)/(C147-C148)), ""), "null")</f>
        <v/>
      </c>
      <c r="F147" s="2">
        <v>896.44396970000003</v>
      </c>
      <c r="G147" s="2">
        <v>57.247005459999997</v>
      </c>
      <c r="H147" s="2">
        <v>94.30106524</v>
      </c>
      <c r="I147" s="2">
        <f>IFERROR(ROUND(H147,0),"null")</f>
        <v>94</v>
      </c>
      <c r="J147" s="2" t="str">
        <f>IF(AND(A148=A147,I147=100,I148=100),"full access", " ")</f>
        <v xml:space="preserve"> </v>
      </c>
      <c r="K147" s="2">
        <v>0</v>
      </c>
      <c r="L147" s="2">
        <v>3.3186027660000001</v>
      </c>
      <c r="M147" s="2">
        <v>2.380331999</v>
      </c>
      <c r="N147" s="2">
        <v>89.088024050000001</v>
      </c>
      <c r="O147" s="2">
        <f>IFERROR(ROUND(N147,0),"null")</f>
        <v>89</v>
      </c>
      <c r="P147" s="2" t="str">
        <f>IF(AND(A147=A148,O147=100,O148=100),"full access"," ")</f>
        <v xml:space="preserve"> </v>
      </c>
      <c r="Q147" s="2" t="str">
        <f>IFERROR(IF(A148=A147,((N147-N148)/(C147-C148)),""),"null")</f>
        <v/>
      </c>
      <c r="R147" s="2">
        <v>0</v>
      </c>
      <c r="S147" s="2">
        <v>5.7598979379999999</v>
      </c>
      <c r="T147" s="2">
        <v>5.1520780119999996</v>
      </c>
      <c r="U147" s="2">
        <v>98.194244060000003</v>
      </c>
      <c r="V147" s="2">
        <f>IFERROR(ROUND(U147,0),"null")</f>
        <v>98</v>
      </c>
      <c r="W147" s="2" t="str">
        <f>IF(AND(A147=A148,V147=100,V148=100),"full access","")</f>
        <v/>
      </c>
      <c r="X147" s="2" t="str">
        <f>IFERROR(IF(A148=A147,((U147-U148)/(C147-C148)),""),"null")</f>
        <v/>
      </c>
      <c r="Y147" s="2">
        <v>0</v>
      </c>
      <c r="Z147" s="2">
        <v>1.495409344</v>
      </c>
      <c r="AA147" s="2">
        <v>0.31034659219999999</v>
      </c>
      <c r="AB147" s="2" t="str">
        <f>IFERROR(IF(A148=A147, Q147-X147, ""), "null")</f>
        <v/>
      </c>
    </row>
    <row r="148" spans="1:28">
      <c r="A148" s="2" t="s">
        <v>115</v>
      </c>
      <c r="B148" s="2" t="str">
        <f>VLOOKUP(A148,Regions!A:B,2,0)</f>
        <v>Europe &amp; Central Asia</v>
      </c>
      <c r="C148" s="2">
        <v>2015</v>
      </c>
      <c r="D148" s="2">
        <f>IF(A149=A148,ABS(C149-C148),"")</f>
        <v>5</v>
      </c>
      <c r="E148" s="2">
        <f>IFERROR(IF(A149=A148,((H148-H149)/(C148-C149)), ""), "null")</f>
        <v>1.3280000018767169E-6</v>
      </c>
      <c r="F148" s="2">
        <v>5481.1279299999997</v>
      </c>
      <c r="G148" s="2">
        <v>85.224998470000003</v>
      </c>
      <c r="H148" s="2">
        <v>99.999996659999994</v>
      </c>
      <c r="I148" s="2">
        <f>IFERROR(ROUND(H148,0),"null")</f>
        <v>100</v>
      </c>
      <c r="J148" s="2" t="str">
        <f>IF(AND(A149=A148,I148=100,I149=100),"full access", " ")</f>
        <v>full access</v>
      </c>
      <c r="K148" s="2">
        <v>0</v>
      </c>
      <c r="L148" s="2">
        <v>3.3406530800000001E-6</v>
      </c>
      <c r="M148" s="2">
        <v>0</v>
      </c>
      <c r="N148" s="2">
        <v>100</v>
      </c>
      <c r="O148" s="2">
        <f>IFERROR(ROUND(N148,0),"null")</f>
        <v>100</v>
      </c>
      <c r="P148" s="2" t="str">
        <f>IF(AND(A148=A149,O148=100,O149=100),"full access"," ")</f>
        <v>full access</v>
      </c>
      <c r="Q148" s="2">
        <f>IFERROR(IF(A149=A148,((N148-N149)/(C148-C149)),""),"null")</f>
        <v>0</v>
      </c>
      <c r="R148" s="2">
        <v>0</v>
      </c>
      <c r="S148" s="2">
        <v>0</v>
      </c>
      <c r="T148" s="2">
        <v>0</v>
      </c>
      <c r="U148" s="2">
        <v>100</v>
      </c>
      <c r="V148" s="2">
        <f>IFERROR(ROUND(U148,0),"null")</f>
        <v>100</v>
      </c>
      <c r="W148" s="2" t="str">
        <f>IF(AND(A148=A149,V148=100,V149=100),"full access","")</f>
        <v>full access</v>
      </c>
      <c r="X148" s="2">
        <f>IFERROR(IF(A149=A148,((U148-U149)/(C148-C149)),""),"null")</f>
        <v>0</v>
      </c>
      <c r="Y148" s="2">
        <v>0</v>
      </c>
      <c r="Z148" s="2">
        <v>0</v>
      </c>
      <c r="AA148" s="2">
        <v>0</v>
      </c>
      <c r="AB148" s="2">
        <f>IFERROR(IF(A149=A148, Q148-X148, ""), "null")</f>
        <v>0</v>
      </c>
    </row>
    <row r="149" spans="1:28">
      <c r="A149" s="2" t="s">
        <v>115</v>
      </c>
      <c r="B149" s="2" t="str">
        <f>VLOOKUP(A149,Regions!A:B,2,0)</f>
        <v>Europe &amp; Central Asia</v>
      </c>
      <c r="C149" s="2">
        <v>2020</v>
      </c>
      <c r="D149" s="2" t="str">
        <f>IF(A150=A149,ABS(C150-C149),"")</f>
        <v/>
      </c>
      <c r="E149" s="2" t="str">
        <f>IFERROR(IF(A150=A149,((H149-H150)/(C149-C150)), ""), "null")</f>
        <v/>
      </c>
      <c r="F149" s="2">
        <v>5540.7177730000003</v>
      </c>
      <c r="G149" s="2">
        <v>85.517005920000003</v>
      </c>
      <c r="H149" s="2">
        <v>100.0000033</v>
      </c>
      <c r="I149" s="2">
        <f>IFERROR(ROUND(H149,0),"null")</f>
        <v>100</v>
      </c>
      <c r="J149" s="2" t="str">
        <f>IF(AND(A150=A149,I149=100,I150=100),"full access", " ")</f>
        <v xml:space="preserve"> </v>
      </c>
      <c r="K149" s="2">
        <v>0</v>
      </c>
      <c r="L149" s="2">
        <v>0</v>
      </c>
      <c r="M149" s="2">
        <v>0</v>
      </c>
      <c r="N149" s="2">
        <v>100</v>
      </c>
      <c r="O149" s="2">
        <f>IFERROR(ROUND(N149,0),"null")</f>
        <v>100</v>
      </c>
      <c r="P149" s="2" t="str">
        <f>IF(AND(A149=A150,O149=100,O150=100),"full access"," ")</f>
        <v xml:space="preserve"> </v>
      </c>
      <c r="Q149" s="2" t="str">
        <f>IFERROR(IF(A150=A149,((N149-N150)/(C149-C150)),""),"null")</f>
        <v/>
      </c>
      <c r="R149" s="2">
        <v>0</v>
      </c>
      <c r="S149" s="2">
        <v>0</v>
      </c>
      <c r="T149" s="2">
        <v>0</v>
      </c>
      <c r="U149" s="2">
        <v>100</v>
      </c>
      <c r="V149" s="2">
        <f>IFERROR(ROUND(U149,0),"null")</f>
        <v>100</v>
      </c>
      <c r="W149" s="2" t="str">
        <f>IF(AND(A149=A150,V149=100,V150=100),"full access","")</f>
        <v/>
      </c>
      <c r="X149" s="2" t="str">
        <f>IFERROR(IF(A150=A149,((U149-U150)/(C149-C150)),""),"null")</f>
        <v/>
      </c>
      <c r="Y149" s="2">
        <v>0</v>
      </c>
      <c r="Z149" s="2">
        <v>0</v>
      </c>
      <c r="AA149" s="2">
        <v>0</v>
      </c>
      <c r="AB149" s="2" t="str">
        <f>IFERROR(IF(A150=A149, Q149-X149, ""), "null")</f>
        <v/>
      </c>
    </row>
    <row r="150" spans="1:28">
      <c r="A150" s="2" t="s">
        <v>116</v>
      </c>
      <c r="B150" s="2" t="str">
        <f>VLOOKUP(A150,Regions!A:B,2,0)</f>
        <v>Europe &amp; Central Asia</v>
      </c>
      <c r="C150" s="2">
        <v>2015</v>
      </c>
      <c r="D150" s="2">
        <f>IF(A151=A150,ABS(C151-C150),"")</f>
        <v>5</v>
      </c>
      <c r="E150" s="2">
        <f>IFERROR(IF(A151=A150,((H150-H151)/(C150-C151)), ""), "null")</f>
        <v>-2.999999992425728E-7</v>
      </c>
      <c r="F150" s="2">
        <v>64453.195310000003</v>
      </c>
      <c r="G150" s="2">
        <v>79.65499878</v>
      </c>
      <c r="H150" s="2">
        <v>100</v>
      </c>
      <c r="I150" s="2">
        <f>IFERROR(ROUND(H150,0),"null")</f>
        <v>100</v>
      </c>
      <c r="J150" s="2" t="str">
        <f>IF(AND(A151=A150,I150=100,I151=100),"full access", " ")</f>
        <v>full access</v>
      </c>
      <c r="K150" s="2">
        <v>0</v>
      </c>
      <c r="L150" s="2">
        <v>0</v>
      </c>
      <c r="M150" s="2">
        <v>0</v>
      </c>
      <c r="N150" s="2">
        <v>100</v>
      </c>
      <c r="O150" s="2">
        <f>IFERROR(ROUND(N150,0),"null")</f>
        <v>100</v>
      </c>
      <c r="P150" s="2" t="str">
        <f>IF(AND(A150=A151,O150=100,O151=100),"full access"," ")</f>
        <v>full access</v>
      </c>
      <c r="Q150" s="2">
        <f>IFERROR(IF(A151=A150,((N150-N151)/(C150-C151)),""),"null")</f>
        <v>0</v>
      </c>
      <c r="R150" s="2">
        <v>0</v>
      </c>
      <c r="S150" s="2">
        <v>0</v>
      </c>
      <c r="T150" s="2">
        <v>0</v>
      </c>
      <c r="U150" s="2">
        <v>100</v>
      </c>
      <c r="V150" s="2">
        <f>IFERROR(ROUND(U150,0),"null")</f>
        <v>100</v>
      </c>
      <c r="W150" s="2" t="str">
        <f>IF(AND(A150=A151,V150=100,V151=100),"full access","")</f>
        <v>full access</v>
      </c>
      <c r="X150" s="2">
        <f>IFERROR(IF(A151=A150,((U150-U151)/(C150-C151)),""),"null")</f>
        <v>0</v>
      </c>
      <c r="Y150" s="2">
        <v>0</v>
      </c>
      <c r="Z150" s="2">
        <v>0</v>
      </c>
      <c r="AA150" s="2">
        <v>0</v>
      </c>
      <c r="AB150" s="2">
        <f>IFERROR(IF(A151=A150, Q150-X150, ""), "null")</f>
        <v>0</v>
      </c>
    </row>
    <row r="151" spans="1:28">
      <c r="A151" s="2" t="s">
        <v>116</v>
      </c>
      <c r="B151" s="2" t="str">
        <f>VLOOKUP(A151,Regions!A:B,2,0)</f>
        <v>Europe &amp; Central Asia</v>
      </c>
      <c r="C151" s="2">
        <v>2020</v>
      </c>
      <c r="D151" s="2" t="str">
        <f>IF(A152=A151,ABS(C152-C151),"")</f>
        <v/>
      </c>
      <c r="E151" s="2" t="str">
        <f>IFERROR(IF(A152=A151,((H151-H152)/(C151-C152)), ""), "null")</f>
        <v/>
      </c>
      <c r="F151" s="2">
        <v>65273.511720000002</v>
      </c>
      <c r="G151" s="2">
        <v>80.974998470000003</v>
      </c>
      <c r="H151" s="2">
        <v>99.999998500000004</v>
      </c>
      <c r="I151" s="2">
        <f>IFERROR(ROUND(H151,0),"null")</f>
        <v>100</v>
      </c>
      <c r="J151" s="2" t="str">
        <f>IF(AND(A152=A151,I151=100,I152=100),"full access", " ")</f>
        <v xml:space="preserve"> </v>
      </c>
      <c r="K151" s="2">
        <v>0</v>
      </c>
      <c r="L151" s="2">
        <v>1.49610841E-6</v>
      </c>
      <c r="M151" s="2">
        <v>0</v>
      </c>
      <c r="N151" s="2">
        <v>100</v>
      </c>
      <c r="O151" s="2">
        <f>IFERROR(ROUND(N151,0),"null")</f>
        <v>100</v>
      </c>
      <c r="P151" s="2" t="str">
        <f>IF(AND(A151=A152,O151=100,O152=100),"full access"," ")</f>
        <v xml:space="preserve"> </v>
      </c>
      <c r="Q151" s="2" t="str">
        <f>IFERROR(IF(A152=A151,((N151-N152)/(C151-C152)),""),"null")</f>
        <v/>
      </c>
      <c r="R151" s="2">
        <v>0</v>
      </c>
      <c r="S151" s="2">
        <v>0</v>
      </c>
      <c r="T151" s="2">
        <v>0</v>
      </c>
      <c r="U151" s="2">
        <v>100</v>
      </c>
      <c r="V151" s="2">
        <f>IFERROR(ROUND(U151,0),"null")</f>
        <v>100</v>
      </c>
      <c r="W151" s="2" t="str">
        <f>IF(AND(A151=A152,V151=100,V152=100),"full access","")</f>
        <v/>
      </c>
      <c r="X151" s="2" t="str">
        <f>IFERROR(IF(A152=A151,((U151-U152)/(C151-C152)),""),"null")</f>
        <v/>
      </c>
      <c r="Y151" s="2">
        <v>0</v>
      </c>
      <c r="Z151" s="2">
        <v>0</v>
      </c>
      <c r="AA151" s="2">
        <v>0</v>
      </c>
      <c r="AB151" s="2" t="str">
        <f>IFERROR(IF(A152=A151, Q151-X151, ""), "null")</f>
        <v/>
      </c>
    </row>
    <row r="152" spans="1:28">
      <c r="A152" s="2" t="s">
        <v>117</v>
      </c>
      <c r="B152" s="2" t="str">
        <f>VLOOKUP(A152,Regions!A:B,2,0)</f>
        <v>Latin America &amp; Caribbean</v>
      </c>
      <c r="C152" s="2">
        <v>2015</v>
      </c>
      <c r="D152" s="2">
        <f>IF(A153=A152,ABS(C153-C152),"")</f>
        <v>5</v>
      </c>
      <c r="E152" s="2">
        <f>IFERROR(IF(A153=A152,((H152-H153)/(C152-C153)), ""), "null")</f>
        <v>4.4031956000000608E-2</v>
      </c>
      <c r="F152" s="2">
        <v>261.00799560000002</v>
      </c>
      <c r="G152" s="2">
        <v>84.482002260000002</v>
      </c>
      <c r="H152" s="2">
        <v>93.562056569999996</v>
      </c>
      <c r="I152" s="2">
        <f>IFERROR(ROUND(H152,0),"null")</f>
        <v>94</v>
      </c>
      <c r="J152" s="2" t="str">
        <f>IF(AND(A153=A152,I152=100,I153=100),"full access", " ")</f>
        <v xml:space="preserve"> </v>
      </c>
      <c r="K152" s="2">
        <v>0</v>
      </c>
      <c r="L152" s="2">
        <v>6.4379434250000003</v>
      </c>
      <c r="M152" s="2">
        <v>0</v>
      </c>
      <c r="N152" s="2" t="s">
        <v>45</v>
      </c>
      <c r="O152" s="2" t="str">
        <f>IFERROR(ROUND(N152,0),"null")</f>
        <v>null</v>
      </c>
      <c r="P152" s="2" t="str">
        <f>IF(AND(A152=A153,O152=100,O153=100),"full access"," ")</f>
        <v xml:space="preserve"> </v>
      </c>
      <c r="Q152" s="2" t="str">
        <f>IFERROR(IF(A153=A152,((N152-N153)/(C152-C153)),""),"null")</f>
        <v>null</v>
      </c>
      <c r="R152" s="2" t="s">
        <v>45</v>
      </c>
      <c r="S152" s="2" t="s">
        <v>45</v>
      </c>
      <c r="T152" s="2" t="s">
        <v>45</v>
      </c>
      <c r="U152" s="2" t="s">
        <v>45</v>
      </c>
      <c r="V152" s="2" t="str">
        <f>IFERROR(ROUND(U152,0),"null")</f>
        <v>null</v>
      </c>
      <c r="W152" s="2" t="str">
        <f>IF(AND(A152=A153,V152=100,V153=100),"full access","")</f>
        <v/>
      </c>
      <c r="X152" s="2" t="str">
        <f>IFERROR(IF(A153=A152,((U152-U153)/(C152-C153)),""),"null")</f>
        <v>null</v>
      </c>
      <c r="Y152" s="2" t="s">
        <v>45</v>
      </c>
      <c r="Z152" s="2" t="s">
        <v>45</v>
      </c>
      <c r="AA152" s="2" t="s">
        <v>45</v>
      </c>
      <c r="AB152" s="2" t="str">
        <f>IFERROR(IF(A153=A152, Q152-X152, ""), "null")</f>
        <v>null</v>
      </c>
    </row>
    <row r="153" spans="1:28">
      <c r="A153" s="2" t="s">
        <v>117</v>
      </c>
      <c r="B153" s="2" t="str">
        <f>VLOOKUP(A153,Regions!A:B,2,0)</f>
        <v>Latin America &amp; Caribbean</v>
      </c>
      <c r="C153" s="2">
        <v>2020</v>
      </c>
      <c r="D153" s="2" t="str">
        <f>IF(A154=A153,ABS(C154-C153),"")</f>
        <v/>
      </c>
      <c r="E153" s="2" t="str">
        <f>IFERROR(IF(A154=A153,((H153-H154)/(C153-C154)), ""), "null")</f>
        <v/>
      </c>
      <c r="F153" s="2">
        <v>298.68200680000001</v>
      </c>
      <c r="G153" s="2">
        <v>85.819999690000003</v>
      </c>
      <c r="H153" s="2">
        <v>93.782216349999999</v>
      </c>
      <c r="I153" s="2">
        <f>IFERROR(ROUND(H153,0),"null")</f>
        <v>94</v>
      </c>
      <c r="J153" s="2" t="str">
        <f>IF(AND(A154=A153,I153=100,I154=100),"full access", " ")</f>
        <v xml:space="preserve"> </v>
      </c>
      <c r="K153" s="2">
        <v>0</v>
      </c>
      <c r="L153" s="2">
        <v>6.2177836519999996</v>
      </c>
      <c r="M153" s="2">
        <v>0</v>
      </c>
      <c r="N153" s="2" t="s">
        <v>45</v>
      </c>
      <c r="O153" s="2" t="str">
        <f>IFERROR(ROUND(N153,0),"null")</f>
        <v>null</v>
      </c>
      <c r="P153" s="2" t="str">
        <f>IF(AND(A153=A154,O153=100,O154=100),"full access"," ")</f>
        <v xml:space="preserve"> </v>
      </c>
      <c r="Q153" s="2" t="str">
        <f>IFERROR(IF(A154=A153,((N153-N154)/(C153-C154)),""),"null")</f>
        <v/>
      </c>
      <c r="R153" s="2" t="s">
        <v>45</v>
      </c>
      <c r="S153" s="2" t="s">
        <v>45</v>
      </c>
      <c r="T153" s="2" t="s">
        <v>45</v>
      </c>
      <c r="U153" s="2" t="s">
        <v>45</v>
      </c>
      <c r="V153" s="2" t="str">
        <f>IFERROR(ROUND(U153,0),"null")</f>
        <v>null</v>
      </c>
      <c r="W153" s="2" t="str">
        <f>IF(AND(A153=A154,V153=100,V154=100),"full access","")</f>
        <v/>
      </c>
      <c r="X153" s="2" t="str">
        <f>IFERROR(IF(A154=A153,((U153-U154)/(C153-C154)),""),"null")</f>
        <v/>
      </c>
      <c r="Y153" s="2" t="s">
        <v>45</v>
      </c>
      <c r="Z153" s="2" t="s">
        <v>45</v>
      </c>
      <c r="AA153" s="2" t="s">
        <v>45</v>
      </c>
      <c r="AB153" s="2" t="str">
        <f>IFERROR(IF(A154=A153, Q153-X153, ""), "null")</f>
        <v/>
      </c>
    </row>
    <row r="154" spans="1:28">
      <c r="A154" s="2" t="s">
        <v>118</v>
      </c>
      <c r="B154" s="2" t="str">
        <f>VLOOKUP(A154,Regions!A:B,2,0)</f>
        <v>East Asia &amp; Pacific</v>
      </c>
      <c r="C154" s="2">
        <v>2015</v>
      </c>
      <c r="D154" s="2">
        <f>IF(A155=A154,ABS(C155-C154),"")</f>
        <v>5</v>
      </c>
      <c r="E154" s="2">
        <f>IFERROR(IF(A155=A154,((H154-H155)/(C154-C155)), ""), "null")</f>
        <v>0</v>
      </c>
      <c r="F154" s="2">
        <v>273.118988</v>
      </c>
      <c r="G154" s="2">
        <v>61.683002469999998</v>
      </c>
      <c r="H154" s="2">
        <v>100</v>
      </c>
      <c r="I154" s="2">
        <f>IFERROR(ROUND(H154,0),"null")</f>
        <v>100</v>
      </c>
      <c r="J154" s="2" t="str">
        <f>IF(AND(A155=A154,I154=100,I155=100),"full access", " ")</f>
        <v>full access</v>
      </c>
      <c r="K154" s="2">
        <v>0</v>
      </c>
      <c r="L154" s="2">
        <v>0</v>
      </c>
      <c r="M154" s="2">
        <v>0</v>
      </c>
      <c r="N154" s="2" t="s">
        <v>45</v>
      </c>
      <c r="O154" s="2" t="str">
        <f>IFERROR(ROUND(N154,0),"null")</f>
        <v>null</v>
      </c>
      <c r="P154" s="2" t="str">
        <f>IF(AND(A154=A155,O154=100,O155=100),"full access"," ")</f>
        <v xml:space="preserve"> </v>
      </c>
      <c r="Q154" s="2" t="str">
        <f>IFERROR(IF(A155=A154,((N154-N155)/(C154-C155)),""),"null")</f>
        <v>null</v>
      </c>
      <c r="R154" s="2" t="s">
        <v>45</v>
      </c>
      <c r="S154" s="2" t="s">
        <v>45</v>
      </c>
      <c r="T154" s="2" t="s">
        <v>45</v>
      </c>
      <c r="U154" s="2" t="s">
        <v>45</v>
      </c>
      <c r="V154" s="2" t="str">
        <f>IFERROR(ROUND(U154,0),"null")</f>
        <v>null</v>
      </c>
      <c r="W154" s="2" t="str">
        <f>IF(AND(A154=A155,V154=100,V155=100),"full access","")</f>
        <v/>
      </c>
      <c r="X154" s="2" t="str">
        <f>IFERROR(IF(A155=A154,((U154-U155)/(C154-C155)),""),"null")</f>
        <v>null</v>
      </c>
      <c r="Y154" s="2" t="s">
        <v>45</v>
      </c>
      <c r="Z154" s="2" t="s">
        <v>45</v>
      </c>
      <c r="AA154" s="2" t="s">
        <v>45</v>
      </c>
      <c r="AB154" s="2" t="str">
        <f>IFERROR(IF(A155=A154, Q154-X154, ""), "null")</f>
        <v>null</v>
      </c>
    </row>
    <row r="155" spans="1:28">
      <c r="A155" s="2" t="s">
        <v>118</v>
      </c>
      <c r="B155" s="2" t="str">
        <f>VLOOKUP(A155,Regions!A:B,2,0)</f>
        <v>East Asia &amp; Pacific</v>
      </c>
      <c r="C155" s="2">
        <v>2020</v>
      </c>
      <c r="D155" s="2" t="str">
        <f>IF(A156=A155,ABS(C156-C155),"")</f>
        <v/>
      </c>
      <c r="E155" s="2" t="str">
        <f>IFERROR(IF(A156=A155,((H155-H156)/(C155-C156)), ""), "null")</f>
        <v/>
      </c>
      <c r="F155" s="2">
        <v>280.90399170000001</v>
      </c>
      <c r="G155" s="2">
        <v>61.975002289999999</v>
      </c>
      <c r="H155" s="2">
        <v>100</v>
      </c>
      <c r="I155" s="2">
        <f>IFERROR(ROUND(H155,0),"null")</f>
        <v>100</v>
      </c>
      <c r="J155" s="2" t="str">
        <f>IF(AND(A156=A155,I155=100,I156=100),"full access", " ")</f>
        <v xml:space="preserve"> </v>
      </c>
      <c r="K155" s="2">
        <v>0</v>
      </c>
      <c r="L155" s="2">
        <v>0</v>
      </c>
      <c r="M155" s="2">
        <v>0</v>
      </c>
      <c r="N155" s="2" t="s">
        <v>45</v>
      </c>
      <c r="O155" s="2" t="str">
        <f>IFERROR(ROUND(N155,0),"null")</f>
        <v>null</v>
      </c>
      <c r="P155" s="2" t="str">
        <f>IF(AND(A155=A156,O155=100,O156=100),"full access"," ")</f>
        <v xml:space="preserve"> </v>
      </c>
      <c r="Q155" s="2" t="str">
        <f>IFERROR(IF(A156=A155,((N155-N156)/(C155-C156)),""),"null")</f>
        <v/>
      </c>
      <c r="R155" s="2" t="s">
        <v>45</v>
      </c>
      <c r="S155" s="2" t="s">
        <v>45</v>
      </c>
      <c r="T155" s="2" t="s">
        <v>45</v>
      </c>
      <c r="U155" s="2" t="s">
        <v>45</v>
      </c>
      <c r="V155" s="2" t="str">
        <f>IFERROR(ROUND(U155,0),"null")</f>
        <v>null</v>
      </c>
      <c r="W155" s="2" t="str">
        <f>IF(AND(A155=A156,V155=100,V156=100),"full access","")</f>
        <v/>
      </c>
      <c r="X155" s="2" t="str">
        <f>IFERROR(IF(A156=A155,((U155-U156)/(C155-C156)),""),"null")</f>
        <v/>
      </c>
      <c r="Y155" s="2" t="s">
        <v>45</v>
      </c>
      <c r="Z155" s="2" t="s">
        <v>45</v>
      </c>
      <c r="AA155" s="2" t="s">
        <v>45</v>
      </c>
      <c r="AB155" s="2" t="str">
        <f>IFERROR(IF(A156=A155, Q155-X155, ""), "null")</f>
        <v/>
      </c>
    </row>
    <row r="156" spans="1:28">
      <c r="A156" s="2" t="s">
        <v>119</v>
      </c>
      <c r="B156" s="2" t="str">
        <f>VLOOKUP(A156,Regions!A:B,2,0)</f>
        <v>Sub-Saharan Africa</v>
      </c>
      <c r="C156" s="2">
        <v>2015</v>
      </c>
      <c r="D156" s="2">
        <f>IF(A157=A156,ABS(C157-C156),"")</f>
        <v>5</v>
      </c>
      <c r="E156" s="2">
        <f>IFERROR(IF(A157=A156,((H156-H157)/(C156-C157)), ""), "null")</f>
        <v>0.29668881000000058</v>
      </c>
      <c r="F156" s="2">
        <v>1947.6899410000001</v>
      </c>
      <c r="G156" s="2">
        <v>88.117996219999995</v>
      </c>
      <c r="H156" s="2">
        <v>83.858486549999995</v>
      </c>
      <c r="I156" s="2">
        <f>IFERROR(ROUND(H156,0),"null")</f>
        <v>84</v>
      </c>
      <c r="J156" s="2" t="str">
        <f>IF(AND(A157=A156,I156=100,I157=100),"full access", " ")</f>
        <v xml:space="preserve"> </v>
      </c>
      <c r="K156" s="2">
        <v>7.7224304339999996</v>
      </c>
      <c r="L156" s="2">
        <v>4.9241821100000003</v>
      </c>
      <c r="M156" s="2">
        <v>3.4949009009999998</v>
      </c>
      <c r="N156" s="2">
        <v>43.390033160000002</v>
      </c>
      <c r="O156" s="2">
        <f>IFERROR(ROUND(N156,0),"null")</f>
        <v>43</v>
      </c>
      <c r="P156" s="2" t="str">
        <f>IF(AND(A156=A157,O156=100,O157=100),"full access"," ")</f>
        <v xml:space="preserve"> </v>
      </c>
      <c r="Q156" s="2">
        <f>IFERROR(IF(A157=A156,((N156-N157)/(C156-C157)),""),"null")</f>
        <v>0.27117116999999952</v>
      </c>
      <c r="R156" s="2">
        <v>10.192647770000001</v>
      </c>
      <c r="S156" s="2">
        <v>21.81093263</v>
      </c>
      <c r="T156" s="2">
        <v>24.606386440000001</v>
      </c>
      <c r="U156" s="2">
        <v>89.315331869999994</v>
      </c>
      <c r="V156" s="2">
        <f>IFERROR(ROUND(U156,0),"null")</f>
        <v>89</v>
      </c>
      <c r="W156" s="2" t="str">
        <f>IF(AND(A156=A157,V156=100,V157=100),"full access","")</f>
        <v/>
      </c>
      <c r="X156" s="2">
        <f>IFERROR(IF(A157=A156,((U156-U157)/(C156-C157)),""),"null")</f>
        <v>9.824145999999985E-2</v>
      </c>
      <c r="Y156" s="2">
        <v>7.3893416170000004</v>
      </c>
      <c r="Z156" s="2">
        <v>2.6471391450000001</v>
      </c>
      <c r="AA156" s="2">
        <v>0.6481873668</v>
      </c>
      <c r="AB156" s="2">
        <f>IFERROR(IF(A157=A156, Q156-X156, ""), "null")</f>
        <v>0.17292970999999968</v>
      </c>
    </row>
    <row r="157" spans="1:28">
      <c r="A157" s="2" t="s">
        <v>119</v>
      </c>
      <c r="B157" s="2" t="str">
        <f>VLOOKUP(A157,Regions!A:B,2,0)</f>
        <v>Sub-Saharan Africa</v>
      </c>
      <c r="C157" s="2">
        <v>2020</v>
      </c>
      <c r="D157" s="2" t="str">
        <f>IF(A158=A157,ABS(C158-C157),"")</f>
        <v/>
      </c>
      <c r="E157" s="2" t="str">
        <f>IFERROR(IF(A158=A157,((H157-H158)/(C157-C158)), ""), "null")</f>
        <v/>
      </c>
      <c r="F157" s="2">
        <v>2225.7280270000001</v>
      </c>
      <c r="G157" s="2">
        <v>90.092002870000002</v>
      </c>
      <c r="H157" s="2">
        <v>85.341930599999998</v>
      </c>
      <c r="I157" s="2">
        <f>IFERROR(ROUND(H157,0),"null")</f>
        <v>85</v>
      </c>
      <c r="J157" s="2" t="str">
        <f>IF(AND(A158=A157,I157=100,I158=100),"full access", " ")</f>
        <v xml:space="preserve"> </v>
      </c>
      <c r="K157" s="2">
        <v>7.7352631030000003</v>
      </c>
      <c r="L157" s="2">
        <v>6.9228083570000001</v>
      </c>
      <c r="M157" s="2" t="s">
        <v>45</v>
      </c>
      <c r="N157" s="2">
        <v>44.745889009999999</v>
      </c>
      <c r="O157" s="2">
        <f>IFERROR(ROUND(N157,0),"null")</f>
        <v>45</v>
      </c>
      <c r="P157" s="2" t="str">
        <f>IF(AND(A157=A158,O157=100,O158=100),"full access"," ")</f>
        <v xml:space="preserve"> </v>
      </c>
      <c r="Q157" s="2" t="str">
        <f>IFERROR(IF(A158=A157,((N157-N158)/(C157-C158)),""),"null")</f>
        <v/>
      </c>
      <c r="R157" s="2">
        <v>10.511148589999999</v>
      </c>
      <c r="S157" s="2">
        <v>44.742962400000003</v>
      </c>
      <c r="T157" s="2" t="s">
        <v>45</v>
      </c>
      <c r="U157" s="2">
        <v>89.806539169999994</v>
      </c>
      <c r="V157" s="2">
        <f>IFERROR(ROUND(U157,0),"null")</f>
        <v>90</v>
      </c>
      <c r="W157" s="2" t="str">
        <f>IF(AND(A157=A158,V157=100,V158=100),"full access","")</f>
        <v/>
      </c>
      <c r="X157" s="2" t="str">
        <f>IFERROR(IF(A158=A157,((U157-U158)/(C157-C158)),""),"null")</f>
        <v/>
      </c>
      <c r="Y157" s="2">
        <v>7.4299807600000003</v>
      </c>
      <c r="Z157" s="2">
        <v>2.7634800720000001</v>
      </c>
      <c r="AA157" s="2" t="s">
        <v>45</v>
      </c>
      <c r="AB157" s="2" t="str">
        <f>IFERROR(IF(A158=A157, Q157-X157, ""), "null")</f>
        <v/>
      </c>
    </row>
    <row r="158" spans="1:28">
      <c r="A158" s="2" t="s">
        <v>120</v>
      </c>
      <c r="B158" s="2" t="str">
        <f>VLOOKUP(A158,Regions!A:B,2,0)</f>
        <v>Sub-Saharan Africa</v>
      </c>
      <c r="C158" s="2">
        <v>2015</v>
      </c>
      <c r="D158" s="2">
        <f>IF(A159=A158,ABS(C159-C158),"")</f>
        <v>5</v>
      </c>
      <c r="E158" s="2">
        <f>IFERROR(IF(A159=A158,((H158-H159)/(C158-C159)), ""), "null")</f>
        <v>0.34604812800000107</v>
      </c>
      <c r="F158" s="2">
        <v>2085.860107</v>
      </c>
      <c r="G158" s="2">
        <v>59.228000639999998</v>
      </c>
      <c r="H158" s="2">
        <v>79.2101665</v>
      </c>
      <c r="I158" s="2">
        <f>IFERROR(ROUND(H158,0),"null")</f>
        <v>79</v>
      </c>
      <c r="J158" s="2" t="str">
        <f>IF(AND(A159=A158,I158=100,I159=100),"full access", " ")</f>
        <v xml:space="preserve"> </v>
      </c>
      <c r="K158" s="2">
        <v>9.0733700059999993</v>
      </c>
      <c r="L158" s="2">
        <v>11.624014620000001</v>
      </c>
      <c r="M158" s="2">
        <v>9.2448870380000006E-2</v>
      </c>
      <c r="N158" s="2">
        <v>68.254892569999996</v>
      </c>
      <c r="O158" s="2">
        <f>IFERROR(ROUND(N158,0),"null")</f>
        <v>68</v>
      </c>
      <c r="P158" s="2" t="str">
        <f>IF(AND(A158=A159,O158=100,O159=100),"full access"," ")</f>
        <v xml:space="preserve"> </v>
      </c>
      <c r="Q158" s="2">
        <f>IFERROR(IF(A159=A158,((N158-N159)/(C158-C159)),""),"null")</f>
        <v>0.18672612800000082</v>
      </c>
      <c r="R158" s="2">
        <v>15.340084539999999</v>
      </c>
      <c r="S158" s="2">
        <v>16.322389959999999</v>
      </c>
      <c r="T158" s="2">
        <v>8.263292471E-2</v>
      </c>
      <c r="U158" s="2">
        <v>86.751671259999995</v>
      </c>
      <c r="V158" s="2">
        <f>IFERROR(ROUND(U158,0),"null")</f>
        <v>87</v>
      </c>
      <c r="W158" s="2" t="str">
        <f>IF(AND(A158=A159,V158=100,V159=100),"full access","")</f>
        <v/>
      </c>
      <c r="X158" s="2">
        <f>IFERROR(IF(A159=A158,((U158-U159)/(C158-C159)),""),"null")</f>
        <v>0.24304660200000114</v>
      </c>
      <c r="Y158" s="2">
        <v>4.7594215670000004</v>
      </c>
      <c r="Z158" s="2">
        <v>8.3897011020000001</v>
      </c>
      <c r="AA158" s="2">
        <v>9.9206071500000007E-2</v>
      </c>
      <c r="AB158" s="2">
        <f>IFERROR(IF(A159=A158, Q158-X158, ""), "null")</f>
        <v>-5.6320474000000315E-2</v>
      </c>
    </row>
    <row r="159" spans="1:28">
      <c r="A159" s="2" t="s">
        <v>120</v>
      </c>
      <c r="B159" s="2" t="str">
        <f>VLOOKUP(A159,Regions!A:B,2,0)</f>
        <v>Sub-Saharan Africa</v>
      </c>
      <c r="C159" s="2">
        <v>2020</v>
      </c>
      <c r="D159" s="2" t="str">
        <f>IF(A160=A159,ABS(C160-C159),"")</f>
        <v/>
      </c>
      <c r="E159" s="2" t="str">
        <f>IFERROR(IF(A160=A159,((H159-H160)/(C159-C160)), ""), "null")</f>
        <v/>
      </c>
      <c r="F159" s="2">
        <v>2416.6640630000002</v>
      </c>
      <c r="G159" s="2">
        <v>62.581996920000002</v>
      </c>
      <c r="H159" s="2">
        <v>80.940407140000005</v>
      </c>
      <c r="I159" s="2">
        <f>IFERROR(ROUND(H159,0),"null")</f>
        <v>81</v>
      </c>
      <c r="J159" s="2" t="str">
        <f>IF(AND(A160=A159,I159=100,I160=100),"full access", " ")</f>
        <v xml:space="preserve"> </v>
      </c>
      <c r="K159" s="2">
        <v>8.5973913910000004</v>
      </c>
      <c r="L159" s="2">
        <v>10.352852070000001</v>
      </c>
      <c r="M159" s="2">
        <v>0.10934939270000001</v>
      </c>
      <c r="N159" s="2">
        <v>69.18852321</v>
      </c>
      <c r="O159" s="2">
        <f>IFERROR(ROUND(N159,0),"null")</f>
        <v>69</v>
      </c>
      <c r="P159" s="2" t="str">
        <f>IF(AND(A159=A160,O159=100,O160=100),"full access"," ")</f>
        <v xml:space="preserve"> </v>
      </c>
      <c r="Q159" s="2" t="str">
        <f>IFERROR(IF(A160=A159,((N159-N160)/(C159-C160)),""),"null")</f>
        <v/>
      </c>
      <c r="R159" s="2">
        <v>16.497832389999999</v>
      </c>
      <c r="S159" s="2">
        <v>14.24376547</v>
      </c>
      <c r="T159" s="2">
        <v>6.9878936799999999E-2</v>
      </c>
      <c r="U159" s="2">
        <v>87.966904270000001</v>
      </c>
      <c r="V159" s="2">
        <f>IFERROR(ROUND(U159,0),"null")</f>
        <v>88</v>
      </c>
      <c r="W159" s="2" t="str">
        <f>IF(AND(A159=A160,V159=100,V160=100),"full access","")</f>
        <v/>
      </c>
      <c r="X159" s="2" t="str">
        <f>IFERROR(IF(A160=A159,((U159-U160)/(C159-C160)),""),"null")</f>
        <v/>
      </c>
      <c r="Y159" s="2">
        <v>3.8736895219999998</v>
      </c>
      <c r="Z159" s="2">
        <v>8.0264572780000005</v>
      </c>
      <c r="AA159" s="2">
        <v>0.13294892529999999</v>
      </c>
      <c r="AB159" s="2" t="str">
        <f>IFERROR(IF(A160=A159, Q159-X159, ""), "null")</f>
        <v/>
      </c>
    </row>
    <row r="160" spans="1:28">
      <c r="A160" s="2" t="s">
        <v>121</v>
      </c>
      <c r="B160" s="2" t="str">
        <f>VLOOKUP(A160,Regions!A:B,2,0)</f>
        <v>Europe &amp; Central Asia</v>
      </c>
      <c r="C160" s="2">
        <v>2015</v>
      </c>
      <c r="D160" s="2">
        <f>IF(A161=A160,ABS(C161-C160),"")</f>
        <v>5</v>
      </c>
      <c r="E160" s="2">
        <f>IFERROR(IF(A161=A160,((H160-H161)/(C160-C161)), ""), "null")</f>
        <v>0.31868203800000006</v>
      </c>
      <c r="F160" s="2">
        <v>4024.179932</v>
      </c>
      <c r="G160" s="2">
        <v>57.447998050000002</v>
      </c>
      <c r="H160" s="2">
        <v>95.754729510000004</v>
      </c>
      <c r="I160" s="2">
        <f>IFERROR(ROUND(H160,0),"null")</f>
        <v>96</v>
      </c>
      <c r="J160" s="2" t="str">
        <f>IF(AND(A161=A160,I160=100,I161=100),"full access", " ")</f>
        <v xml:space="preserve"> </v>
      </c>
      <c r="K160" s="2">
        <v>0.95196455830000004</v>
      </c>
      <c r="L160" s="2">
        <v>3.2398949309999998</v>
      </c>
      <c r="M160" s="2">
        <v>5.3410995400000001E-2</v>
      </c>
      <c r="N160" s="2">
        <v>91.295150590000006</v>
      </c>
      <c r="O160" s="2">
        <f>IFERROR(ROUND(N160,0),"null")</f>
        <v>91</v>
      </c>
      <c r="P160" s="2" t="str">
        <f>IF(AND(A160=A161,O160=100,O161=100),"full access"," ")</f>
        <v xml:space="preserve"> </v>
      </c>
      <c r="Q160" s="2">
        <f>IFERROR(IF(A161=A160,((N160-N161)/(C160-C161)),""),"null")</f>
        <v>0.59534672199999927</v>
      </c>
      <c r="R160" s="2">
        <v>1.893756292</v>
      </c>
      <c r="S160" s="2">
        <v>6.7002163880000003</v>
      </c>
      <c r="T160" s="2">
        <v>0.1108767321</v>
      </c>
      <c r="U160" s="2">
        <v>99.057965449999998</v>
      </c>
      <c r="V160" s="2">
        <f>IFERROR(ROUND(U160,0),"null")</f>
        <v>99</v>
      </c>
      <c r="W160" s="2" t="str">
        <f>IF(AND(A160=A161,V160=100,V161=100),"full access","")</f>
        <v/>
      </c>
      <c r="X160" s="2">
        <f>IFERROR(IF(A161=A160,((U160-U161)/(C160-C161)),""),"null")</f>
        <v>7.7637698000000907E-2</v>
      </c>
      <c r="Y160" s="2">
        <v>0.25437508559999999</v>
      </c>
      <c r="Z160" s="2">
        <v>0.67681360540000002</v>
      </c>
      <c r="AA160" s="2">
        <v>1.084585945E-2</v>
      </c>
      <c r="AB160" s="2">
        <f>IFERROR(IF(A161=A160, Q160-X160, ""), "null")</f>
        <v>0.51770902399999841</v>
      </c>
    </row>
    <row r="161" spans="1:28">
      <c r="A161" s="2" t="s">
        <v>121</v>
      </c>
      <c r="B161" s="2" t="str">
        <f>VLOOKUP(A161,Regions!A:B,2,0)</f>
        <v>Europe &amp; Central Asia</v>
      </c>
      <c r="C161" s="2">
        <v>2020</v>
      </c>
      <c r="D161" s="2" t="str">
        <f>IF(A162=A161,ABS(C162-C161),"")</f>
        <v/>
      </c>
      <c r="E161" s="2" t="str">
        <f>IFERROR(IF(A162=A161,((H161-H162)/(C161-C162)), ""), "null")</f>
        <v/>
      </c>
      <c r="F161" s="2">
        <v>3989.1750489999999</v>
      </c>
      <c r="G161" s="2">
        <v>59.452995299999998</v>
      </c>
      <c r="H161" s="2">
        <v>97.348139700000004</v>
      </c>
      <c r="I161" s="2">
        <f>IFERROR(ROUND(H161,0),"null")</f>
        <v>97</v>
      </c>
      <c r="J161" s="2" t="str">
        <f>IF(AND(A162=A161,I161=100,I162=100),"full access", " ")</f>
        <v xml:space="preserve"> </v>
      </c>
      <c r="K161" s="2">
        <v>0</v>
      </c>
      <c r="L161" s="2">
        <v>2.6327613790000002</v>
      </c>
      <c r="M161" s="2">
        <v>1.9098923269999998E-2</v>
      </c>
      <c r="N161" s="2">
        <v>94.271884200000002</v>
      </c>
      <c r="O161" s="2">
        <f>IFERROR(ROUND(N161,0),"null")</f>
        <v>94</v>
      </c>
      <c r="P161" s="2" t="str">
        <f>IF(AND(A161=A162,O161=100,O162=100),"full access"," ")</f>
        <v xml:space="preserve"> </v>
      </c>
      <c r="Q161" s="2" t="str">
        <f>IFERROR(IF(A162=A161,((N161-N162)/(C161-C162)),""),"null")</f>
        <v/>
      </c>
      <c r="R161" s="2">
        <v>0</v>
      </c>
      <c r="S161" s="2">
        <v>5.7039236180000001</v>
      </c>
      <c r="T161" s="2">
        <v>2.4192183450000002E-2</v>
      </c>
      <c r="U161" s="2">
        <v>99.446153940000002</v>
      </c>
      <c r="V161" s="2">
        <f>IFERROR(ROUND(U161,0),"null")</f>
        <v>99</v>
      </c>
      <c r="W161" s="2" t="str">
        <f>IF(AND(A161=A162,V161=100,V162=100),"full access","")</f>
        <v/>
      </c>
      <c r="X161" s="2" t="str">
        <f>IFERROR(IF(A162=A161,((U161-U162)/(C161-C162)),""),"null")</f>
        <v/>
      </c>
      <c r="Y161" s="2">
        <v>0</v>
      </c>
      <c r="Z161" s="2">
        <v>0.53822074200000003</v>
      </c>
      <c r="AA161" s="2">
        <v>1.5625315859999999E-2</v>
      </c>
      <c r="AB161" s="2" t="str">
        <f>IFERROR(IF(A162=A161, Q161-X161, ""), "null")</f>
        <v/>
      </c>
    </row>
    <row r="162" spans="1:28">
      <c r="A162" s="2" t="s">
        <v>122</v>
      </c>
      <c r="B162" s="2" t="str">
        <f>VLOOKUP(A162,Regions!A:B,2,0)</f>
        <v>Europe &amp; Central Asia</v>
      </c>
      <c r="C162" s="2">
        <v>2015</v>
      </c>
      <c r="D162" s="2">
        <f>IF(A163=A162,ABS(C163-C162),"")</f>
        <v>5</v>
      </c>
      <c r="E162" s="2">
        <f>IFERROR(IF(A163=A162,((H162-H163)/(C162-C163)), ""), "null")</f>
        <v>-1.9999998812636478E-8</v>
      </c>
      <c r="F162" s="2">
        <v>81787.414059999996</v>
      </c>
      <c r="G162" s="2">
        <v>77.200004579999998</v>
      </c>
      <c r="H162" s="2">
        <v>100.0000024</v>
      </c>
      <c r="I162" s="2">
        <f>IFERROR(ROUND(H162,0),"null")</f>
        <v>100</v>
      </c>
      <c r="J162" s="2" t="str">
        <f>IF(AND(A163=A162,I162=100,I163=100),"full access", " ")</f>
        <v>full access</v>
      </c>
      <c r="K162" s="2">
        <v>0</v>
      </c>
      <c r="L162" s="2">
        <v>0</v>
      </c>
      <c r="M162" s="2">
        <v>0</v>
      </c>
      <c r="N162" s="2">
        <v>100</v>
      </c>
      <c r="O162" s="2">
        <f>IFERROR(ROUND(N162,0),"null")</f>
        <v>100</v>
      </c>
      <c r="P162" s="2" t="str">
        <f>IF(AND(A162=A163,O162=100,O163=100),"full access"," ")</f>
        <v>full access</v>
      </c>
      <c r="Q162" s="2">
        <f>IFERROR(IF(A163=A162,((N162-N163)/(C162-C163)),""),"null")</f>
        <v>0</v>
      </c>
      <c r="R162" s="2">
        <v>0</v>
      </c>
      <c r="S162" s="2">
        <v>0</v>
      </c>
      <c r="T162" s="2">
        <v>0</v>
      </c>
      <c r="U162" s="2">
        <v>100</v>
      </c>
      <c r="V162" s="2">
        <f>IFERROR(ROUND(U162,0),"null")</f>
        <v>100</v>
      </c>
      <c r="W162" s="2" t="str">
        <f>IF(AND(A162=A163,V162=100,V163=100),"full access","")</f>
        <v>full access</v>
      </c>
      <c r="X162" s="2">
        <f>IFERROR(IF(A163=A162,((U162-U163)/(C162-C163)),""),"null")</f>
        <v>0</v>
      </c>
      <c r="Y162" s="2">
        <v>0</v>
      </c>
      <c r="Z162" s="2">
        <v>0</v>
      </c>
      <c r="AA162" s="2">
        <v>0</v>
      </c>
      <c r="AB162" s="2">
        <f>IFERROR(IF(A163=A162, Q162-X162, ""), "null")</f>
        <v>0</v>
      </c>
    </row>
    <row r="163" spans="1:28">
      <c r="A163" s="2" t="s">
        <v>122</v>
      </c>
      <c r="B163" s="2" t="str">
        <f>VLOOKUP(A163,Regions!A:B,2,0)</f>
        <v>Europe &amp; Central Asia</v>
      </c>
      <c r="C163" s="2">
        <v>2020</v>
      </c>
      <c r="D163" s="2" t="str">
        <f>IF(A164=A163,ABS(C164-C163),"")</f>
        <v/>
      </c>
      <c r="E163" s="2" t="str">
        <f>IFERROR(IF(A164=A163,((H163-H164)/(C163-C164)), ""), "null")</f>
        <v/>
      </c>
      <c r="F163" s="2">
        <v>83783.945309999996</v>
      </c>
      <c r="G163" s="2">
        <v>77.453002929999997</v>
      </c>
      <c r="H163" s="2">
        <v>100.00000230000001</v>
      </c>
      <c r="I163" s="2">
        <f>IFERROR(ROUND(H163,0),"null")</f>
        <v>100</v>
      </c>
      <c r="J163" s="2" t="str">
        <f>IF(AND(A164=A163,I163=100,I164=100),"full access", " ")</f>
        <v xml:space="preserve"> </v>
      </c>
      <c r="K163" s="2">
        <v>0</v>
      </c>
      <c r="L163" s="2">
        <v>0</v>
      </c>
      <c r="M163" s="2">
        <v>0</v>
      </c>
      <c r="N163" s="2">
        <v>100</v>
      </c>
      <c r="O163" s="2">
        <f>IFERROR(ROUND(N163,0),"null")</f>
        <v>100</v>
      </c>
      <c r="P163" s="2" t="str">
        <f>IF(AND(A163=A164,O163=100,O164=100),"full access"," ")</f>
        <v xml:space="preserve"> </v>
      </c>
      <c r="Q163" s="2" t="str">
        <f>IFERROR(IF(A164=A163,((N163-N164)/(C163-C164)),""),"null")</f>
        <v/>
      </c>
      <c r="R163" s="2">
        <v>0</v>
      </c>
      <c r="S163" s="2">
        <v>0</v>
      </c>
      <c r="T163" s="2">
        <v>0</v>
      </c>
      <c r="U163" s="2">
        <v>100</v>
      </c>
      <c r="V163" s="2">
        <f>IFERROR(ROUND(U163,0),"null")</f>
        <v>100</v>
      </c>
      <c r="W163" s="2" t="str">
        <f>IF(AND(A163=A164,V163=100,V164=100),"full access","")</f>
        <v/>
      </c>
      <c r="X163" s="2" t="str">
        <f>IFERROR(IF(A164=A163,((U163-U164)/(C163-C164)),""),"null")</f>
        <v/>
      </c>
      <c r="Y163" s="2">
        <v>0</v>
      </c>
      <c r="Z163" s="2">
        <v>0</v>
      </c>
      <c r="AA163" s="2">
        <v>0</v>
      </c>
      <c r="AB163" s="2" t="str">
        <f>IFERROR(IF(A164=A163, Q163-X163, ""), "null")</f>
        <v/>
      </c>
    </row>
    <row r="164" spans="1:28">
      <c r="A164" s="2" t="s">
        <v>123</v>
      </c>
      <c r="B164" s="2" t="str">
        <f>VLOOKUP(A164,Regions!A:B,2,0)</f>
        <v>Sub-Saharan Africa</v>
      </c>
      <c r="C164" s="2">
        <v>2015</v>
      </c>
      <c r="D164" s="2">
        <f>IF(A165=A164,ABS(C165-C164),"")</f>
        <v>5</v>
      </c>
      <c r="E164" s="2">
        <f>IFERROR(IF(A165=A164,((H164-H165)/(C164-C165)), ""), "null")</f>
        <v>1.1266070839999998</v>
      </c>
      <c r="F164" s="2">
        <v>27849.203130000002</v>
      </c>
      <c r="G164" s="2">
        <v>54.085998539999999</v>
      </c>
      <c r="H164" s="2">
        <v>80.157961229999998</v>
      </c>
      <c r="I164" s="2">
        <f>IFERROR(ROUND(H164,0),"null")</f>
        <v>80</v>
      </c>
      <c r="J164" s="2" t="str">
        <f>IF(AND(A165=A164,I164=100,I165=100),"full access", " ")</f>
        <v xml:space="preserve"> </v>
      </c>
      <c r="K164" s="2">
        <v>7.8975991900000002</v>
      </c>
      <c r="L164" s="2">
        <v>4.4266436760000003</v>
      </c>
      <c r="M164" s="2">
        <v>7.5177958990000002</v>
      </c>
      <c r="N164" s="2">
        <v>67.208304769999998</v>
      </c>
      <c r="O164" s="2">
        <f>IFERROR(ROUND(N164,0),"null")</f>
        <v>67</v>
      </c>
      <c r="P164" s="2" t="str">
        <f>IF(AND(A164=A165,O164=100,O165=100),"full access"," ")</f>
        <v xml:space="preserve"> </v>
      </c>
      <c r="Q164" s="2">
        <f>IFERROR(IF(A165=A164,((N164-N165)/(C164-C165)),""),"null")</f>
        <v>0.93688905600000116</v>
      </c>
      <c r="R164" s="2">
        <v>11.1534648</v>
      </c>
      <c r="S164" s="2">
        <v>6.3352592420000002</v>
      </c>
      <c r="T164" s="2">
        <v>15.302971189999999</v>
      </c>
      <c r="U164" s="2">
        <v>91.151019840000004</v>
      </c>
      <c r="V164" s="2">
        <f>IFERROR(ROUND(U164,0),"null")</f>
        <v>91</v>
      </c>
      <c r="W164" s="2" t="str">
        <f>IF(AND(A164=A165,V164=100,V165=100),"full access","")</f>
        <v/>
      </c>
      <c r="X164" s="2">
        <f>IFERROR(IF(A165=A164,((U164-U165)/(C164-C165)),""),"null")</f>
        <v>0.99524793599999839</v>
      </c>
      <c r="Y164" s="2">
        <v>5.133670929</v>
      </c>
      <c r="Z164" s="2">
        <v>2.806405888</v>
      </c>
      <c r="AA164" s="2">
        <v>0.90890334449999999</v>
      </c>
      <c r="AB164" s="2">
        <f>IFERROR(IF(A165=A164, Q164-X164, ""), "null")</f>
        <v>-5.8358879999997226E-2</v>
      </c>
    </row>
    <row r="165" spans="1:28">
      <c r="A165" s="2" t="s">
        <v>123</v>
      </c>
      <c r="B165" s="2" t="str">
        <f>VLOOKUP(A165,Regions!A:B,2,0)</f>
        <v>Sub-Saharan Africa</v>
      </c>
      <c r="C165" s="2">
        <v>2020</v>
      </c>
      <c r="D165" s="2" t="str">
        <f>IF(A166=A165,ABS(C166-C165),"")</f>
        <v/>
      </c>
      <c r="E165" s="2" t="str">
        <f>IFERROR(IF(A166=A165,((H165-H166)/(C165-C166)), ""), "null")</f>
        <v/>
      </c>
      <c r="F165" s="2">
        <v>31072.945309999999</v>
      </c>
      <c r="G165" s="2">
        <v>57.348999020000001</v>
      </c>
      <c r="H165" s="2">
        <v>85.790996649999997</v>
      </c>
      <c r="I165" s="2">
        <f>IFERROR(ROUND(H165,0),"null")</f>
        <v>86</v>
      </c>
      <c r="J165" s="2" t="str">
        <f>IF(AND(A166=A165,I165=100,I166=100),"full access", " ")</f>
        <v xml:space="preserve"> </v>
      </c>
      <c r="K165" s="2">
        <v>6.5860621129999997</v>
      </c>
      <c r="L165" s="2">
        <v>2.8122161760000002</v>
      </c>
      <c r="M165" s="2">
        <v>4.8107250580000001</v>
      </c>
      <c r="N165" s="2">
        <v>71.892750050000004</v>
      </c>
      <c r="O165" s="2">
        <f>IFERROR(ROUND(N165,0),"null")</f>
        <v>72</v>
      </c>
      <c r="P165" s="2" t="str">
        <f>IF(AND(A165=A166,O165=100,O166=100),"full access"," ")</f>
        <v xml:space="preserve"> </v>
      </c>
      <c r="Q165" s="2" t="str">
        <f>IFERROR(IF(A166=A165,((N165-N166)/(C165-C166)),""),"null")</f>
        <v/>
      </c>
      <c r="R165" s="2">
        <v>11.934548270000001</v>
      </c>
      <c r="S165" s="2">
        <v>4.9993564829999997</v>
      </c>
      <c r="T165" s="2">
        <v>11.173345189999999</v>
      </c>
      <c r="U165" s="2">
        <v>96.127259519999996</v>
      </c>
      <c r="V165" s="2">
        <f>IFERROR(ROUND(U165,0),"null")</f>
        <v>96</v>
      </c>
      <c r="W165" s="2" t="str">
        <f>IF(AND(A165=A166,V165=100,V166=100),"full access","")</f>
        <v/>
      </c>
      <c r="X165" s="2" t="str">
        <f>IFERROR(IF(A166=A165,((U165-U166)/(C165-C166)),""),"null")</f>
        <v/>
      </c>
      <c r="Y165" s="2">
        <v>2.6083424549999998</v>
      </c>
      <c r="Z165" s="2">
        <v>1.1856138030000001</v>
      </c>
      <c r="AA165" s="2">
        <v>7.8784218190000005E-2</v>
      </c>
      <c r="AB165" s="2" t="str">
        <f>IFERROR(IF(A166=A165, Q165-X165, ""), "null")</f>
        <v/>
      </c>
    </row>
    <row r="166" spans="1:28">
      <c r="A166" s="2" t="s">
        <v>124</v>
      </c>
      <c r="B166" s="2" t="str">
        <f>VLOOKUP(A166,Regions!A:B,2,0)</f>
        <v>Europe &amp; Central Asia</v>
      </c>
      <c r="C166" s="2">
        <v>2015</v>
      </c>
      <c r="D166" s="2">
        <f>IF(A167=A166,ABS(C167-C166),"")</f>
        <v>5</v>
      </c>
      <c r="E166" s="2">
        <f>IFERROR(IF(A167=A166,((H166-H167)/(C166-C167)), ""), "null")</f>
        <v>0</v>
      </c>
      <c r="F166" s="2">
        <v>33.742000580000003</v>
      </c>
      <c r="G166" s="2">
        <v>100</v>
      </c>
      <c r="H166" s="2">
        <v>100</v>
      </c>
      <c r="I166" s="2">
        <f>IFERROR(ROUND(H166,0),"null")</f>
        <v>100</v>
      </c>
      <c r="J166" s="2" t="str">
        <f>IF(AND(A167=A166,I166=100,I167=100),"full access", " ")</f>
        <v>full access</v>
      </c>
      <c r="K166" s="2">
        <v>0</v>
      </c>
      <c r="L166" s="2">
        <v>0</v>
      </c>
      <c r="M166" s="2">
        <v>0</v>
      </c>
      <c r="N166" s="2" t="s">
        <v>45</v>
      </c>
      <c r="O166" s="2" t="str">
        <f>IFERROR(ROUND(N166,0),"null")</f>
        <v>null</v>
      </c>
      <c r="P166" s="2" t="str">
        <f>IF(AND(A166=A167,O166=100,O167=100),"full access"," ")</f>
        <v xml:space="preserve"> </v>
      </c>
      <c r="Q166" s="2" t="str">
        <f>IFERROR(IF(A167=A166,((N166-N167)/(C166-C167)),""),"null")</f>
        <v>null</v>
      </c>
      <c r="R166" s="2" t="s">
        <v>45</v>
      </c>
      <c r="S166" s="2" t="s">
        <v>45</v>
      </c>
      <c r="T166" s="2" t="s">
        <v>45</v>
      </c>
      <c r="U166" s="2">
        <v>100</v>
      </c>
      <c r="V166" s="2">
        <f>IFERROR(ROUND(U166,0),"null")</f>
        <v>100</v>
      </c>
      <c r="W166" s="2" t="str">
        <f>IF(AND(A166=A167,V166=100,V167=100),"full access","")</f>
        <v>full access</v>
      </c>
      <c r="X166" s="2">
        <f>IFERROR(IF(A167=A166,((U166-U167)/(C166-C167)),""),"null")</f>
        <v>0</v>
      </c>
      <c r="Y166" s="2">
        <v>0</v>
      </c>
      <c r="Z166" s="2">
        <v>0</v>
      </c>
      <c r="AA166" s="2">
        <v>0</v>
      </c>
      <c r="AB166" s="2" t="str">
        <f>IFERROR(IF(A167=A166, Q166-X166, ""), "null")</f>
        <v>null</v>
      </c>
    </row>
    <row r="167" spans="1:28">
      <c r="A167" s="2" t="s">
        <v>124</v>
      </c>
      <c r="B167" s="2" t="str">
        <f>VLOOKUP(A167,Regions!A:B,2,0)</f>
        <v>Europe &amp; Central Asia</v>
      </c>
      <c r="C167" s="2">
        <v>2020</v>
      </c>
      <c r="D167" s="2" t="str">
        <f>IF(A168=A167,ABS(C168-C167),"")</f>
        <v/>
      </c>
      <c r="E167" s="2" t="str">
        <f>IFERROR(IF(A168=A167,((H167-H168)/(C167-C168)), ""), "null")</f>
        <v/>
      </c>
      <c r="F167" s="2">
        <v>33.691001890000003</v>
      </c>
      <c r="G167" s="2">
        <v>100</v>
      </c>
      <c r="H167" s="2">
        <v>100</v>
      </c>
      <c r="I167" s="2">
        <f>IFERROR(ROUND(H167,0),"null")</f>
        <v>100</v>
      </c>
      <c r="J167" s="2" t="str">
        <f>IF(AND(A168=A167,I167=100,I168=100),"full access", " ")</f>
        <v xml:space="preserve"> </v>
      </c>
      <c r="K167" s="2">
        <v>0</v>
      </c>
      <c r="L167" s="2">
        <v>0</v>
      </c>
      <c r="M167" s="2">
        <v>0</v>
      </c>
      <c r="N167" s="2" t="s">
        <v>45</v>
      </c>
      <c r="O167" s="2" t="str">
        <f>IFERROR(ROUND(N167,0),"null")</f>
        <v>null</v>
      </c>
      <c r="P167" s="2" t="str">
        <f>IF(AND(A167=A168,O167=100,O168=100),"full access"," ")</f>
        <v xml:space="preserve"> </v>
      </c>
      <c r="Q167" s="2" t="str">
        <f>IFERROR(IF(A168=A167,((N167-N168)/(C167-C168)),""),"null")</f>
        <v/>
      </c>
      <c r="R167" s="2" t="s">
        <v>45</v>
      </c>
      <c r="S167" s="2" t="s">
        <v>45</v>
      </c>
      <c r="T167" s="2" t="s">
        <v>45</v>
      </c>
      <c r="U167" s="2">
        <v>100</v>
      </c>
      <c r="V167" s="2">
        <f>IFERROR(ROUND(U167,0),"null")</f>
        <v>100</v>
      </c>
      <c r="W167" s="2" t="str">
        <f>IF(AND(A167=A168,V167=100,V168=100),"full access","")</f>
        <v/>
      </c>
      <c r="X167" s="2" t="str">
        <f>IFERROR(IF(A168=A167,((U167-U168)/(C167-C168)),""),"null")</f>
        <v/>
      </c>
      <c r="Y167" s="2">
        <v>0</v>
      </c>
      <c r="Z167" s="2">
        <v>0</v>
      </c>
      <c r="AA167" s="2">
        <v>0</v>
      </c>
      <c r="AB167" s="2" t="str">
        <f>IFERROR(IF(A168=A167, Q167-X167, ""), "null")</f>
        <v/>
      </c>
    </row>
    <row r="168" spans="1:28">
      <c r="A168" s="2" t="s">
        <v>125</v>
      </c>
      <c r="B168" s="2" t="str">
        <f>VLOOKUP(A168,Regions!A:B,2,0)</f>
        <v>Europe &amp; Central Asia</v>
      </c>
      <c r="C168" s="2">
        <v>2015</v>
      </c>
      <c r="D168" s="2">
        <f>IF(A169=A168,ABS(C169-C168),"")</f>
        <v>5</v>
      </c>
      <c r="E168" s="2">
        <f>IFERROR(IF(A169=A168,((H168-H169)/(C168-C169)), ""), "null")</f>
        <v>-4.5999999827017745E-7</v>
      </c>
      <c r="F168" s="2">
        <v>10659.737300000001</v>
      </c>
      <c r="G168" s="2">
        <v>78.046005249999993</v>
      </c>
      <c r="H168" s="2">
        <v>100.0000046</v>
      </c>
      <c r="I168" s="2">
        <f>IFERROR(ROUND(H168,0),"null")</f>
        <v>100</v>
      </c>
      <c r="J168" s="2" t="str">
        <f>IF(AND(A169=A168,I168=100,I169=100),"full access", " ")</f>
        <v>full access</v>
      </c>
      <c r="K168" s="2">
        <v>0</v>
      </c>
      <c r="L168" s="2">
        <v>0</v>
      </c>
      <c r="M168" s="2">
        <v>0</v>
      </c>
      <c r="N168" s="2">
        <v>100</v>
      </c>
      <c r="O168" s="2">
        <f>IFERROR(ROUND(N168,0),"null")</f>
        <v>100</v>
      </c>
      <c r="P168" s="2" t="str">
        <f>IF(AND(A168=A169,O168=100,O169=100),"full access"," ")</f>
        <v>full access</v>
      </c>
      <c r="Q168" s="2">
        <f>IFERROR(IF(A169=A168,((N168-N169)/(C168-C169)),""),"null")</f>
        <v>0</v>
      </c>
      <c r="R168" s="2">
        <v>0</v>
      </c>
      <c r="S168" s="2">
        <v>0</v>
      </c>
      <c r="T168" s="2">
        <v>0</v>
      </c>
      <c r="U168" s="2">
        <v>100</v>
      </c>
      <c r="V168" s="2">
        <f>IFERROR(ROUND(U168,0),"null")</f>
        <v>100</v>
      </c>
      <c r="W168" s="2" t="str">
        <f>IF(AND(A168=A169,V168=100,V169=100),"full access","")</f>
        <v>full access</v>
      </c>
      <c r="X168" s="2">
        <f>IFERROR(IF(A169=A168,((U168-U169)/(C168-C169)),""),"null")</f>
        <v>0</v>
      </c>
      <c r="Y168" s="2">
        <v>0</v>
      </c>
      <c r="Z168" s="2">
        <v>0</v>
      </c>
      <c r="AA168" s="2">
        <v>0</v>
      </c>
      <c r="AB168" s="2">
        <f>IFERROR(IF(A169=A168, Q168-X168, ""), "null")</f>
        <v>0</v>
      </c>
    </row>
    <row r="169" spans="1:28">
      <c r="A169" s="2" t="s">
        <v>125</v>
      </c>
      <c r="B169" s="2" t="str">
        <f>VLOOKUP(A169,Regions!A:B,2,0)</f>
        <v>Europe &amp; Central Asia</v>
      </c>
      <c r="C169" s="2">
        <v>2020</v>
      </c>
      <c r="D169" s="2" t="str">
        <f>IF(A170=A169,ABS(C170-C169),"")</f>
        <v/>
      </c>
      <c r="E169" s="2" t="str">
        <f>IFERROR(IF(A170=A169,((H169-H170)/(C169-C170)), ""), "null")</f>
        <v/>
      </c>
      <c r="F169" s="2">
        <v>10423.05566</v>
      </c>
      <c r="G169" s="2">
        <v>79.715003969999998</v>
      </c>
      <c r="H169" s="2">
        <v>100.00000230000001</v>
      </c>
      <c r="I169" s="2">
        <f>IFERROR(ROUND(H169,0),"null")</f>
        <v>100</v>
      </c>
      <c r="J169" s="2" t="str">
        <f>IF(AND(A170=A169,I169=100,I170=100),"full access", " ")</f>
        <v xml:space="preserve"> </v>
      </c>
      <c r="K169" s="2">
        <v>0</v>
      </c>
      <c r="L169" s="2">
        <v>0</v>
      </c>
      <c r="M169" s="2">
        <v>0</v>
      </c>
      <c r="N169" s="2">
        <v>100</v>
      </c>
      <c r="O169" s="2">
        <f>IFERROR(ROUND(N169,0),"null")</f>
        <v>100</v>
      </c>
      <c r="P169" s="2" t="str">
        <f>IF(AND(A169=A170,O169=100,O170=100),"full access"," ")</f>
        <v xml:space="preserve"> </v>
      </c>
      <c r="Q169" s="2" t="str">
        <f>IFERROR(IF(A170=A169,((N169-N170)/(C169-C170)),""),"null")</f>
        <v/>
      </c>
      <c r="R169" s="2">
        <v>0</v>
      </c>
      <c r="S169" s="2">
        <v>0</v>
      </c>
      <c r="T169" s="2">
        <v>0</v>
      </c>
      <c r="U169" s="2">
        <v>100</v>
      </c>
      <c r="V169" s="2">
        <f>IFERROR(ROUND(U169,0),"null")</f>
        <v>100</v>
      </c>
      <c r="W169" s="2" t="str">
        <f>IF(AND(A169=A170,V169=100,V170=100),"full access","")</f>
        <v/>
      </c>
      <c r="X169" s="2" t="str">
        <f>IFERROR(IF(A170=A169,((U169-U170)/(C169-C170)),""),"null")</f>
        <v/>
      </c>
      <c r="Y169" s="2">
        <v>0</v>
      </c>
      <c r="Z169" s="2">
        <v>0</v>
      </c>
      <c r="AA169" s="2">
        <v>0</v>
      </c>
      <c r="AB169" s="2" t="str">
        <f>IFERROR(IF(A170=A169, Q169-X169, ""), "null")</f>
        <v/>
      </c>
    </row>
    <row r="170" spans="1:28">
      <c r="A170" s="2" t="s">
        <v>126</v>
      </c>
      <c r="B170" s="2" t="str">
        <f>VLOOKUP(A170,Regions!A:B,2,0)</f>
        <v>North America</v>
      </c>
      <c r="C170" s="2">
        <v>2015</v>
      </c>
      <c r="D170" s="2">
        <f>IF(A171=A170,ABS(C171-C170),"")</f>
        <v>5</v>
      </c>
      <c r="E170" s="2">
        <f>IFERROR(IF(A171=A170,((H170-H171)/(C170-C171)), ""), "null")</f>
        <v>3.3999999971001671E-7</v>
      </c>
      <c r="F170" s="2">
        <v>56.377998349999999</v>
      </c>
      <c r="G170" s="2">
        <v>86.070999150000006</v>
      </c>
      <c r="H170" s="2">
        <v>100</v>
      </c>
      <c r="I170" s="2">
        <f>IFERROR(ROUND(H170,0),"null")</f>
        <v>100</v>
      </c>
      <c r="J170" s="2" t="str">
        <f>IF(AND(A171=A170,I170=100,I171=100),"full access", " ")</f>
        <v>full access</v>
      </c>
      <c r="K170" s="2">
        <v>0</v>
      </c>
      <c r="L170" s="2">
        <v>0</v>
      </c>
      <c r="M170" s="2">
        <v>0</v>
      </c>
      <c r="N170" s="2">
        <v>100</v>
      </c>
      <c r="O170" s="2">
        <f>IFERROR(ROUND(N170,0),"null")</f>
        <v>100</v>
      </c>
      <c r="P170" s="2" t="str">
        <f>IF(AND(A170=A171,O170=100,O171=100),"full access"," ")</f>
        <v>full access</v>
      </c>
      <c r="Q170" s="2">
        <f>IFERROR(IF(A171=A170,((N170-N171)/(C170-C171)),""),"null")</f>
        <v>0</v>
      </c>
      <c r="R170" s="2">
        <v>0</v>
      </c>
      <c r="S170" s="2">
        <v>0</v>
      </c>
      <c r="T170" s="2">
        <v>0</v>
      </c>
      <c r="U170" s="2">
        <v>100</v>
      </c>
      <c r="V170" s="2">
        <f>IFERROR(ROUND(U170,0),"null")</f>
        <v>100</v>
      </c>
      <c r="W170" s="2" t="str">
        <f>IF(AND(A170=A171,V170=100,V171=100),"full access","")</f>
        <v>full access</v>
      </c>
      <c r="X170" s="2">
        <f>IFERROR(IF(A171=A170,((U170-U171)/(C170-C171)),""),"null")</f>
        <v>0</v>
      </c>
      <c r="Y170" s="2">
        <v>0</v>
      </c>
      <c r="Z170" s="2">
        <v>0</v>
      </c>
      <c r="AA170" s="2">
        <v>0</v>
      </c>
      <c r="AB170" s="2">
        <f>IFERROR(IF(A171=A170, Q170-X170, ""), "null")</f>
        <v>0</v>
      </c>
    </row>
    <row r="171" spans="1:28">
      <c r="A171" s="2" t="s">
        <v>126</v>
      </c>
      <c r="B171" s="2" t="str">
        <f>VLOOKUP(A171,Regions!A:B,2,0)</f>
        <v>North America</v>
      </c>
      <c r="C171" s="2">
        <v>2020</v>
      </c>
      <c r="D171" s="2" t="str">
        <f>IF(A172=A171,ABS(C172-C171),"")</f>
        <v/>
      </c>
      <c r="E171" s="2" t="str">
        <f>IFERROR(IF(A172=A171,((H171-H172)/(C171-C172)), ""), "null")</f>
        <v/>
      </c>
      <c r="F171" s="2">
        <v>56.771999360000002</v>
      </c>
      <c r="G171" s="2">
        <v>87.282005310000002</v>
      </c>
      <c r="H171" s="2">
        <v>100.0000017</v>
      </c>
      <c r="I171" s="2">
        <f>IFERROR(ROUND(H171,0),"null")</f>
        <v>100</v>
      </c>
      <c r="J171" s="2" t="str">
        <f>IF(AND(A172=A171,I171=100,I172=100),"full access", " ")</f>
        <v xml:space="preserve"> </v>
      </c>
      <c r="K171" s="2">
        <v>0</v>
      </c>
      <c r="L171" s="2">
        <v>0</v>
      </c>
      <c r="M171" s="2">
        <v>0</v>
      </c>
      <c r="N171" s="2">
        <v>100</v>
      </c>
      <c r="O171" s="2">
        <f>IFERROR(ROUND(N171,0),"null")</f>
        <v>100</v>
      </c>
      <c r="P171" s="2" t="str">
        <f>IF(AND(A171=A172,O171=100,O172=100),"full access"," ")</f>
        <v xml:space="preserve"> </v>
      </c>
      <c r="Q171" s="2" t="str">
        <f>IFERROR(IF(A172=A171,((N171-N172)/(C171-C172)),""),"null")</f>
        <v/>
      </c>
      <c r="R171" s="2">
        <v>0</v>
      </c>
      <c r="S171" s="2">
        <v>0</v>
      </c>
      <c r="T171" s="2">
        <v>0</v>
      </c>
      <c r="U171" s="2">
        <v>100</v>
      </c>
      <c r="V171" s="2">
        <f>IFERROR(ROUND(U171,0),"null")</f>
        <v>100</v>
      </c>
      <c r="W171" s="2" t="str">
        <f>IF(AND(A171=A172,V171=100,V172=100),"full access","")</f>
        <v/>
      </c>
      <c r="X171" s="2" t="str">
        <f>IFERROR(IF(A172=A171,((U171-U172)/(C171-C172)),""),"null")</f>
        <v/>
      </c>
      <c r="Y171" s="2">
        <v>0</v>
      </c>
      <c r="Z171" s="2">
        <v>0</v>
      </c>
      <c r="AA171" s="2">
        <v>0</v>
      </c>
      <c r="AB171" s="2" t="str">
        <f>IFERROR(IF(A172=A171, Q171-X171, ""), "null")</f>
        <v/>
      </c>
    </row>
    <row r="172" spans="1:28">
      <c r="A172" s="2" t="s">
        <v>127</v>
      </c>
      <c r="B172" s="2" t="str">
        <f>VLOOKUP(A172,Regions!A:B,2,0)</f>
        <v>Latin America &amp; Caribbean</v>
      </c>
      <c r="C172" s="2">
        <v>2015</v>
      </c>
      <c r="D172" s="2">
        <f>IF(A173=A172,ABS(C173-C172),"")</f>
        <v>2</v>
      </c>
      <c r="E172" s="2">
        <f>IFERROR(IF(A173=A172,((H172-H173)/(C172-C173)), ""), "null")</f>
        <v>0</v>
      </c>
      <c r="F172" s="2">
        <v>109.6029968</v>
      </c>
      <c r="G172" s="2">
        <v>35.997001650000001</v>
      </c>
      <c r="H172" s="2">
        <v>95.628650440000001</v>
      </c>
      <c r="I172" s="2">
        <f>IFERROR(ROUND(H172,0),"null")</f>
        <v>96</v>
      </c>
      <c r="J172" s="2" t="str">
        <f>IF(AND(A173=A172,I172=100,I173=100),"full access", " ")</f>
        <v xml:space="preserve"> </v>
      </c>
      <c r="K172" s="2">
        <v>1.1614815839999999</v>
      </c>
      <c r="L172" s="2">
        <v>0</v>
      </c>
      <c r="M172" s="2">
        <v>3.2098679720000001</v>
      </c>
      <c r="N172" s="2" t="s">
        <v>45</v>
      </c>
      <c r="O172" s="2" t="str">
        <f>IFERROR(ROUND(N172,0),"null")</f>
        <v>null</v>
      </c>
      <c r="P172" s="2" t="str">
        <f>IF(AND(A172=A173,O172=100,O173=100),"full access"," ")</f>
        <v xml:space="preserve"> </v>
      </c>
      <c r="Q172" s="2" t="str">
        <f>IFERROR(IF(A173=A172,((N172-N173)/(C172-C173)),""),"null")</f>
        <v>null</v>
      </c>
      <c r="R172" s="2" t="s">
        <v>45</v>
      </c>
      <c r="S172" s="2" t="s">
        <v>45</v>
      </c>
      <c r="T172" s="2" t="s">
        <v>45</v>
      </c>
      <c r="U172" s="2" t="s">
        <v>45</v>
      </c>
      <c r="V172" s="2" t="str">
        <f>IFERROR(ROUND(U172,0),"null")</f>
        <v>null</v>
      </c>
      <c r="W172" s="2" t="str">
        <f>IF(AND(A172=A173,V172=100,V173=100),"full access","")</f>
        <v/>
      </c>
      <c r="X172" s="2" t="str">
        <f>IFERROR(IF(A173=A172,((U172-U173)/(C172-C173)),""),"null")</f>
        <v>null</v>
      </c>
      <c r="Y172" s="2" t="s">
        <v>45</v>
      </c>
      <c r="Z172" s="2" t="s">
        <v>45</v>
      </c>
      <c r="AA172" s="2" t="s">
        <v>45</v>
      </c>
      <c r="AB172" s="2" t="str">
        <f>IFERROR(IF(A173=A172, Q172-X172, ""), "null")</f>
        <v>null</v>
      </c>
    </row>
    <row r="173" spans="1:28">
      <c r="A173" s="2" t="s">
        <v>127</v>
      </c>
      <c r="B173" s="2" t="str">
        <f>VLOOKUP(A173,Regions!A:B,2,0)</f>
        <v>Latin America &amp; Caribbean</v>
      </c>
      <c r="C173" s="2">
        <v>2017</v>
      </c>
      <c r="D173" s="2" t="str">
        <f>IF(A174=A173,ABS(C174-C173),"")</f>
        <v/>
      </c>
      <c r="E173" s="2" t="str">
        <f>IFERROR(IF(A174=A173,((H173-H174)/(C173-C174)), ""), "null")</f>
        <v/>
      </c>
      <c r="F173" s="2">
        <v>110.87400049999999</v>
      </c>
      <c r="G173" s="2">
        <v>36.164001460000001</v>
      </c>
      <c r="H173" s="2">
        <v>95.628650440000001</v>
      </c>
      <c r="I173" s="2">
        <f>IFERROR(ROUND(H173,0),"null")</f>
        <v>96</v>
      </c>
      <c r="J173" s="2" t="str">
        <f>IF(AND(A174=A173,I173=100,I174=100),"full access", " ")</f>
        <v xml:space="preserve"> </v>
      </c>
      <c r="K173" s="2">
        <v>1.1614815839999999</v>
      </c>
      <c r="L173" s="2">
        <v>0</v>
      </c>
      <c r="M173" s="2">
        <v>3.2098679720000001</v>
      </c>
      <c r="N173" s="2" t="s">
        <v>45</v>
      </c>
      <c r="O173" s="2" t="str">
        <f>IFERROR(ROUND(N173,0),"null")</f>
        <v>null</v>
      </c>
      <c r="P173" s="2" t="str">
        <f>IF(AND(A173=A174,O173=100,O174=100),"full access"," ")</f>
        <v xml:space="preserve"> </v>
      </c>
      <c r="Q173" s="2" t="str">
        <f>IFERROR(IF(A174=A173,((N173-N174)/(C173-C174)),""),"null")</f>
        <v/>
      </c>
      <c r="R173" s="2" t="s">
        <v>45</v>
      </c>
      <c r="S173" s="2" t="s">
        <v>45</v>
      </c>
      <c r="T173" s="2" t="s">
        <v>45</v>
      </c>
      <c r="U173" s="2" t="s">
        <v>45</v>
      </c>
      <c r="V173" s="2" t="str">
        <f>IFERROR(ROUND(U173,0),"null")</f>
        <v>null</v>
      </c>
      <c r="W173" s="2" t="str">
        <f>IF(AND(A173=A174,V173=100,V174=100),"full access","")</f>
        <v/>
      </c>
      <c r="X173" s="2" t="str">
        <f>IFERROR(IF(A174=A173,((U173-U174)/(C173-C174)),""),"null")</f>
        <v/>
      </c>
      <c r="Y173" s="2" t="s">
        <v>45</v>
      </c>
      <c r="Z173" s="2" t="s">
        <v>45</v>
      </c>
      <c r="AA173" s="2" t="s">
        <v>45</v>
      </c>
      <c r="AB173" s="2" t="str">
        <f>IFERROR(IF(A174=A173, Q173-X173, ""), "null")</f>
        <v/>
      </c>
    </row>
    <row r="174" spans="1:28">
      <c r="A174" s="2" t="s">
        <v>128</v>
      </c>
      <c r="B174" s="2" t="str">
        <f>VLOOKUP(A174,Regions!A:B,2,0)</f>
        <v>Latin America &amp; Caribbean</v>
      </c>
      <c r="C174" s="2">
        <v>2015</v>
      </c>
      <c r="D174" s="2">
        <f>IF(A175=A174,ABS(C175-C174),"")</f>
        <v>5</v>
      </c>
      <c r="E174" s="2">
        <f>IFERROR(IF(A175=A174,((H174-H175)/(C174-C175)), ""), "null")</f>
        <v>3.8419582000000216E-2</v>
      </c>
      <c r="F174" s="2">
        <v>400.26000979999998</v>
      </c>
      <c r="G174" s="2">
        <v>98.443000789999999</v>
      </c>
      <c r="H174" s="2">
        <v>99.611028129999994</v>
      </c>
      <c r="I174" s="2">
        <f>IFERROR(ROUND(H174,0),"null")</f>
        <v>100</v>
      </c>
      <c r="J174" s="2" t="str">
        <f>IF(AND(A175=A174,I174=100,I175=100),"full access", " ")</f>
        <v>full access</v>
      </c>
      <c r="K174" s="2">
        <v>0</v>
      </c>
      <c r="L174" s="2">
        <v>0.38897187239999997</v>
      </c>
      <c r="M174" s="2">
        <v>0</v>
      </c>
      <c r="N174" s="2" t="s">
        <v>45</v>
      </c>
      <c r="O174" s="2" t="str">
        <f>IFERROR(ROUND(N174,0),"null")</f>
        <v>null</v>
      </c>
      <c r="P174" s="2" t="str">
        <f>IF(AND(A174=A175,O174=100,O175=100),"full access"," ")</f>
        <v xml:space="preserve"> </v>
      </c>
      <c r="Q174" s="2" t="str">
        <f>IFERROR(IF(A175=A174,((N174-N175)/(C174-C175)),""),"null")</f>
        <v>null</v>
      </c>
      <c r="R174" s="2" t="s">
        <v>45</v>
      </c>
      <c r="S174" s="2" t="s">
        <v>45</v>
      </c>
      <c r="T174" s="2" t="s">
        <v>45</v>
      </c>
      <c r="U174" s="2" t="s">
        <v>45</v>
      </c>
      <c r="V174" s="2" t="str">
        <f>IFERROR(ROUND(U174,0),"null")</f>
        <v>null</v>
      </c>
      <c r="W174" s="2" t="str">
        <f>IF(AND(A174=A175,V174=100,V175=100),"full access","")</f>
        <v/>
      </c>
      <c r="X174" s="2" t="str">
        <f>IFERROR(IF(A175=A174,((U174-U175)/(C174-C175)),""),"null")</f>
        <v>null</v>
      </c>
      <c r="Y174" s="2" t="s">
        <v>45</v>
      </c>
      <c r="Z174" s="2" t="s">
        <v>45</v>
      </c>
      <c r="AA174" s="2" t="s">
        <v>45</v>
      </c>
      <c r="AB174" s="2" t="str">
        <f>IFERROR(IF(A175=A174, Q174-X174, ""), "null")</f>
        <v>null</v>
      </c>
    </row>
    <row r="175" spans="1:28">
      <c r="A175" s="2" t="s">
        <v>128</v>
      </c>
      <c r="B175" s="2" t="str">
        <f>VLOOKUP(A175,Regions!A:B,2,0)</f>
        <v>Latin America &amp; Caribbean</v>
      </c>
      <c r="C175" s="2">
        <v>2020</v>
      </c>
      <c r="D175" s="2" t="str">
        <f>IF(A176=A175,ABS(C176-C175),"")</f>
        <v/>
      </c>
      <c r="E175" s="2" t="str">
        <f>IFERROR(IF(A176=A175,((H175-H176)/(C175-C176)), ""), "null")</f>
        <v/>
      </c>
      <c r="F175" s="2">
        <v>400.12701420000002</v>
      </c>
      <c r="G175" s="2">
        <v>98.498992920000006</v>
      </c>
      <c r="H175" s="2">
        <v>99.803126039999995</v>
      </c>
      <c r="I175" s="2">
        <f>IFERROR(ROUND(H175,0),"null")</f>
        <v>100</v>
      </c>
      <c r="J175" s="2" t="str">
        <f>IF(AND(A176=A175,I175=100,I176=100),"full access", " ")</f>
        <v xml:space="preserve"> </v>
      </c>
      <c r="K175" s="2">
        <v>0</v>
      </c>
      <c r="L175" s="2">
        <v>0.19687396130000001</v>
      </c>
      <c r="M175" s="2">
        <v>0</v>
      </c>
      <c r="N175" s="2" t="s">
        <v>45</v>
      </c>
      <c r="O175" s="2" t="str">
        <f>IFERROR(ROUND(N175,0),"null")</f>
        <v>null</v>
      </c>
      <c r="P175" s="2" t="str">
        <f>IF(AND(A175=A176,O175=100,O176=100),"full access"," ")</f>
        <v xml:space="preserve"> </v>
      </c>
      <c r="Q175" s="2" t="str">
        <f>IFERROR(IF(A176=A175,((N175-N176)/(C175-C176)),""),"null")</f>
        <v/>
      </c>
      <c r="R175" s="2" t="s">
        <v>45</v>
      </c>
      <c r="S175" s="2" t="s">
        <v>45</v>
      </c>
      <c r="T175" s="2" t="s">
        <v>45</v>
      </c>
      <c r="U175" s="2" t="s">
        <v>45</v>
      </c>
      <c r="V175" s="2" t="str">
        <f>IFERROR(ROUND(U175,0),"null")</f>
        <v>null</v>
      </c>
      <c r="W175" s="2" t="str">
        <f>IF(AND(A175=A176,V175=100,V176=100),"full access","")</f>
        <v/>
      </c>
      <c r="X175" s="2" t="str">
        <f>IFERROR(IF(A176=A175,((U175-U176)/(C175-C176)),""),"null")</f>
        <v/>
      </c>
      <c r="Y175" s="2" t="s">
        <v>45</v>
      </c>
      <c r="Z175" s="2" t="s">
        <v>45</v>
      </c>
      <c r="AA175" s="2" t="s">
        <v>45</v>
      </c>
      <c r="AB175" s="2" t="str">
        <f>IFERROR(IF(A176=A175, Q175-X175, ""), "null")</f>
        <v/>
      </c>
    </row>
    <row r="176" spans="1:28">
      <c r="A176" s="2" t="s">
        <v>129</v>
      </c>
      <c r="B176" s="2" t="str">
        <f>VLOOKUP(A176,Regions!A:B,2,0)</f>
        <v>East Asia &amp; Pacific</v>
      </c>
      <c r="C176" s="2">
        <v>2015</v>
      </c>
      <c r="D176" s="2">
        <f>IF(A177=A176,ABS(C177-C176),"")</f>
        <v>5</v>
      </c>
      <c r="E176" s="2">
        <f>IFERROR(IF(A177=A176,((H176-H177)/(C176-C177)), ""), "null")</f>
        <v>0</v>
      </c>
      <c r="F176" s="2">
        <v>161.85099790000001</v>
      </c>
      <c r="G176" s="2">
        <v>94.533996579999993</v>
      </c>
      <c r="H176" s="2">
        <v>99.6952</v>
      </c>
      <c r="I176" s="2">
        <f>IFERROR(ROUND(H176,0),"null")</f>
        <v>100</v>
      </c>
      <c r="J176" s="2" t="str">
        <f>IF(AND(A177=A176,I176=100,I177=100),"full access", " ")</f>
        <v>full access</v>
      </c>
      <c r="K176" s="2">
        <v>0</v>
      </c>
      <c r="L176" s="2">
        <v>0.30480000000000002</v>
      </c>
      <c r="M176" s="2">
        <v>0</v>
      </c>
      <c r="N176" s="2" t="s">
        <v>45</v>
      </c>
      <c r="O176" s="2" t="str">
        <f>IFERROR(ROUND(N176,0),"null")</f>
        <v>null</v>
      </c>
      <c r="P176" s="2" t="str">
        <f>IF(AND(A176=A177,O176=100,O177=100),"full access"," ")</f>
        <v xml:space="preserve"> </v>
      </c>
      <c r="Q176" s="2" t="str">
        <f>IFERROR(IF(A177=A176,((N176-N177)/(C176-C177)),""),"null")</f>
        <v>null</v>
      </c>
      <c r="R176" s="2" t="s">
        <v>45</v>
      </c>
      <c r="S176" s="2" t="s">
        <v>45</v>
      </c>
      <c r="T176" s="2" t="s">
        <v>45</v>
      </c>
      <c r="U176" s="2" t="s">
        <v>45</v>
      </c>
      <c r="V176" s="2" t="str">
        <f>IFERROR(ROUND(U176,0),"null")</f>
        <v>null</v>
      </c>
      <c r="W176" s="2" t="str">
        <f>IF(AND(A176=A177,V176=100,V177=100),"full access","")</f>
        <v/>
      </c>
      <c r="X176" s="2" t="str">
        <f>IFERROR(IF(A177=A176,((U176-U177)/(C176-C177)),""),"null")</f>
        <v>null</v>
      </c>
      <c r="Y176" s="2" t="s">
        <v>45</v>
      </c>
      <c r="Z176" s="2" t="s">
        <v>45</v>
      </c>
      <c r="AA176" s="2" t="s">
        <v>45</v>
      </c>
      <c r="AB176" s="2" t="str">
        <f>IFERROR(IF(A177=A176, Q176-X176, ""), "null")</f>
        <v>null</v>
      </c>
    </row>
    <row r="177" spans="1:28">
      <c r="A177" s="2" t="s">
        <v>129</v>
      </c>
      <c r="B177" s="2" t="str">
        <f>VLOOKUP(A177,Regions!A:B,2,0)</f>
        <v>East Asia &amp; Pacific</v>
      </c>
      <c r="C177" s="2">
        <v>2020</v>
      </c>
      <c r="D177" s="2" t="str">
        <f>IF(A178=A177,ABS(C178-C177),"")</f>
        <v/>
      </c>
      <c r="E177" s="2" t="str">
        <f>IFERROR(IF(A178=A177,((H177-H178)/(C177-C178)), ""), "null")</f>
        <v/>
      </c>
      <c r="F177" s="2">
        <v>168.78300479999999</v>
      </c>
      <c r="G177" s="2">
        <v>94.938003539999997</v>
      </c>
      <c r="H177" s="2">
        <v>99.6952</v>
      </c>
      <c r="I177" s="2">
        <f>IFERROR(ROUND(H177,0),"null")</f>
        <v>100</v>
      </c>
      <c r="J177" s="2" t="str">
        <f>IF(AND(A178=A177,I177=100,I178=100),"full access", " ")</f>
        <v xml:space="preserve"> </v>
      </c>
      <c r="K177" s="2">
        <v>0</v>
      </c>
      <c r="L177" s="2">
        <v>0.30480000000000002</v>
      </c>
      <c r="M177" s="2">
        <v>0</v>
      </c>
      <c r="N177" s="2" t="s">
        <v>45</v>
      </c>
      <c r="O177" s="2" t="str">
        <f>IFERROR(ROUND(N177,0),"null")</f>
        <v>null</v>
      </c>
      <c r="P177" s="2" t="str">
        <f>IF(AND(A177=A178,O177=100,O178=100),"full access"," ")</f>
        <v xml:space="preserve"> </v>
      </c>
      <c r="Q177" s="2" t="str">
        <f>IFERROR(IF(A178=A177,((N177-N178)/(C177-C178)),""),"null")</f>
        <v/>
      </c>
      <c r="R177" s="2" t="s">
        <v>45</v>
      </c>
      <c r="S177" s="2" t="s">
        <v>45</v>
      </c>
      <c r="T177" s="2" t="s">
        <v>45</v>
      </c>
      <c r="U177" s="2" t="s">
        <v>45</v>
      </c>
      <c r="V177" s="2" t="str">
        <f>IFERROR(ROUND(U177,0),"null")</f>
        <v>null</v>
      </c>
      <c r="W177" s="2" t="str">
        <f>IF(AND(A177=A178,V177=100,V178=100),"full access","")</f>
        <v/>
      </c>
      <c r="X177" s="2" t="str">
        <f>IFERROR(IF(A178=A177,((U177-U178)/(C177-C178)),""),"null")</f>
        <v/>
      </c>
      <c r="Y177" s="2" t="s">
        <v>45</v>
      </c>
      <c r="Z177" s="2" t="s">
        <v>45</v>
      </c>
      <c r="AA177" s="2" t="s">
        <v>45</v>
      </c>
      <c r="AB177" s="2" t="str">
        <f>IFERROR(IF(A178=A177, Q177-X177, ""), "null")</f>
        <v/>
      </c>
    </row>
    <row r="178" spans="1:28">
      <c r="A178" s="2" t="s">
        <v>130</v>
      </c>
      <c r="B178" s="2" t="str">
        <f>VLOOKUP(A178,Regions!A:B,2,0)</f>
        <v>Latin America &amp; Caribbean</v>
      </c>
      <c r="C178" s="2">
        <v>2015</v>
      </c>
      <c r="D178" s="2">
        <f>IF(A179=A178,ABS(C179-C178),"")</f>
        <v>5</v>
      </c>
      <c r="E178" s="2">
        <f>IFERROR(IF(A179=A178,((H178-H179)/(C178-C179)), ""), "null")</f>
        <v>0.37447888400000123</v>
      </c>
      <c r="F178" s="2">
        <v>16252.424800000001</v>
      </c>
      <c r="G178" s="2">
        <v>49.971000670000002</v>
      </c>
      <c r="H178" s="2">
        <v>92.134033849999994</v>
      </c>
      <c r="I178" s="2">
        <f>IFERROR(ROUND(H178,0),"null")</f>
        <v>92</v>
      </c>
      <c r="J178" s="2" t="str">
        <f>IF(AND(A179=A178,I178=100,I179=100),"full access", " ")</f>
        <v xml:space="preserve"> </v>
      </c>
      <c r="K178" s="2">
        <v>0.96845174850000004</v>
      </c>
      <c r="L178" s="2">
        <v>4.7652610869999998</v>
      </c>
      <c r="M178" s="2">
        <v>2.1322533130000001</v>
      </c>
      <c r="N178" s="2">
        <v>87.242756180000001</v>
      </c>
      <c r="O178" s="2">
        <f>IFERROR(ROUND(N178,0),"null")</f>
        <v>87</v>
      </c>
      <c r="P178" s="2" t="str">
        <f>IF(AND(A178=A179,O178=100,O179=100),"full access"," ")</f>
        <v xml:space="preserve"> </v>
      </c>
      <c r="Q178" s="2">
        <f>IFERROR(IF(A179=A178,((N178-N179)/(C178-C179)),""),"null")</f>
        <v>0.57531472400000039</v>
      </c>
      <c r="R178" s="2">
        <v>1.6509012869999999</v>
      </c>
      <c r="S178" s="2">
        <v>7.052091828</v>
      </c>
      <c r="T178" s="2">
        <v>4.0542507089999997</v>
      </c>
      <c r="U178" s="2">
        <v>97.030988910000005</v>
      </c>
      <c r="V178" s="2">
        <f>IFERROR(ROUND(U178,0),"null")</f>
        <v>97</v>
      </c>
      <c r="W178" s="2" t="str">
        <f>IF(AND(A178=A179,V178=100,V179=100),"full access","")</f>
        <v/>
      </c>
      <c r="X178" s="2">
        <f>IFERROR(IF(A179=A178,((U178-U179)/(C178-C179)),""),"null")</f>
        <v>0.11743610599999954</v>
      </c>
      <c r="Y178" s="2">
        <v>0.2852100796</v>
      </c>
      <c r="Z178" s="2">
        <v>2.4757759840000002</v>
      </c>
      <c r="AA178" s="2">
        <v>0.20802502270000001</v>
      </c>
      <c r="AB178" s="2">
        <f>IFERROR(IF(A179=A178, Q178-X178, ""), "null")</f>
        <v>0.45787861800000085</v>
      </c>
    </row>
    <row r="179" spans="1:28">
      <c r="A179" s="2" t="s">
        <v>130</v>
      </c>
      <c r="B179" s="2" t="str">
        <f>VLOOKUP(A179,Regions!A:B,2,0)</f>
        <v>Latin America &amp; Caribbean</v>
      </c>
      <c r="C179" s="2">
        <v>2020</v>
      </c>
      <c r="D179" s="2" t="str">
        <f>IF(A180=A179,ABS(C180-C179),"")</f>
        <v/>
      </c>
      <c r="E179" s="2" t="str">
        <f>IFERROR(IF(A180=A179,((H179-H180)/(C179-C180)), ""), "null")</f>
        <v/>
      </c>
      <c r="F179" s="2">
        <v>17915.566409999999</v>
      </c>
      <c r="G179" s="2">
        <v>51.835998539999999</v>
      </c>
      <c r="H179" s="2">
        <v>94.006428270000001</v>
      </c>
      <c r="I179" s="2">
        <f>IFERROR(ROUND(H179,0),"null")</f>
        <v>94</v>
      </c>
      <c r="J179" s="2" t="str">
        <f>IF(AND(A180=A179,I179=100,I180=100),"full access", " ")</f>
        <v xml:space="preserve"> </v>
      </c>
      <c r="K179" s="2">
        <v>1.034150511</v>
      </c>
      <c r="L179" s="2">
        <v>3.2159118150000001</v>
      </c>
      <c r="M179" s="2">
        <v>1.7435094040000001</v>
      </c>
      <c r="N179" s="2">
        <v>90.119329800000003</v>
      </c>
      <c r="O179" s="2">
        <f>IFERROR(ROUND(N179,0),"null")</f>
        <v>90</v>
      </c>
      <c r="P179" s="2" t="str">
        <f>IF(AND(A179=A180,O179=100,O180=100),"full access"," ")</f>
        <v xml:space="preserve"> </v>
      </c>
      <c r="Q179" s="2" t="str">
        <f>IFERROR(IF(A180=A179,((N179-N180)/(C179-C180)),""),"null")</f>
        <v/>
      </c>
      <c r="R179" s="2">
        <v>1.8491699989999999</v>
      </c>
      <c r="S179" s="2">
        <v>4.5834386909999996</v>
      </c>
      <c r="T179" s="2">
        <v>3.4480615079999999</v>
      </c>
      <c r="U179" s="2">
        <v>97.618169440000003</v>
      </c>
      <c r="V179" s="2">
        <f>IFERROR(ROUND(U179,0),"null")</f>
        <v>98</v>
      </c>
      <c r="W179" s="2" t="str">
        <f>IF(AND(A179=A180,V179=100,V180=100),"full access","")</f>
        <v/>
      </c>
      <c r="X179" s="2" t="str">
        <f>IFERROR(IF(A180=A179,((U179-U180)/(C179-C180)),""),"null")</f>
        <v/>
      </c>
      <c r="Y179" s="2">
        <v>0.27686600569999997</v>
      </c>
      <c r="Z179" s="2">
        <v>1.94525887</v>
      </c>
      <c r="AA179" s="2">
        <v>0.15970568490000001</v>
      </c>
      <c r="AB179" s="2" t="str">
        <f>IFERROR(IF(A180=A179, Q179-X179, ""), "null")</f>
        <v/>
      </c>
    </row>
    <row r="180" spans="1:28">
      <c r="A180" s="2" t="s">
        <v>131</v>
      </c>
      <c r="B180" s="2" t="str">
        <f>VLOOKUP(A180,Regions!A:B,2,0)</f>
        <v>Sub-Saharan Africa</v>
      </c>
      <c r="C180" s="2">
        <v>2015</v>
      </c>
      <c r="D180" s="2">
        <f>IF(A181=A180,ABS(C181-C180),"")</f>
        <v>5</v>
      </c>
      <c r="E180" s="2">
        <f>IFERROR(IF(A181=A180,((H180-H181)/(C180-C181)), ""), "null")</f>
        <v>6.9279840000000092E-2</v>
      </c>
      <c r="F180" s="2">
        <v>11432.0957</v>
      </c>
      <c r="G180" s="2">
        <v>35.140998840000002</v>
      </c>
      <c r="H180" s="2">
        <v>63.615389540000002</v>
      </c>
      <c r="I180" s="2">
        <f>IFERROR(ROUND(H180,0),"null")</f>
        <v>64</v>
      </c>
      <c r="J180" s="2" t="str">
        <f>IF(AND(A181=A180,I180=100,I181=100),"full access", " ")</f>
        <v xml:space="preserve"> </v>
      </c>
      <c r="K180" s="2">
        <v>16.090256029999999</v>
      </c>
      <c r="L180" s="2">
        <v>9.7579804439999993</v>
      </c>
      <c r="M180" s="2">
        <v>10.53637399</v>
      </c>
      <c r="N180" s="2">
        <v>51.949155339999997</v>
      </c>
      <c r="O180" s="2">
        <f>IFERROR(ROUND(N180,0),"null")</f>
        <v>52</v>
      </c>
      <c r="P180" s="2" t="str">
        <f>IF(AND(A180=A181,O180=100,O181=100),"full access"," ")</f>
        <v xml:space="preserve"> </v>
      </c>
      <c r="Q180" s="2">
        <f>IFERROR(IF(A181=A180,((N180-N181)/(C180-C181)),""),"null")</f>
        <v>-0.24019526999999954</v>
      </c>
      <c r="R180" s="2">
        <v>18.760629779999999</v>
      </c>
      <c r="S180" s="2">
        <v>13.309717210000001</v>
      </c>
      <c r="T180" s="2">
        <v>15.980497679999999</v>
      </c>
      <c r="U180" s="2">
        <v>85.147507689999998</v>
      </c>
      <c r="V180" s="2">
        <f>IFERROR(ROUND(U180,0),"null")</f>
        <v>85</v>
      </c>
      <c r="W180" s="2" t="str">
        <f>IF(AND(A180=A181,V180=100,V181=100),"full access","")</f>
        <v/>
      </c>
      <c r="X180" s="2">
        <f>IFERROR(IF(A181=A180,((U180-U181)/(C180-C181)),""),"null")</f>
        <v>0.28683647599999917</v>
      </c>
      <c r="Y180" s="2">
        <v>11.161602630000001</v>
      </c>
      <c r="Z180" s="2">
        <v>3.202620418</v>
      </c>
      <c r="AA180" s="2">
        <v>0.48826926510000002</v>
      </c>
      <c r="AB180" s="2">
        <f>IFERROR(IF(A181=A180, Q180-X180, ""), "null")</f>
        <v>-0.52703174599999869</v>
      </c>
    </row>
    <row r="181" spans="1:28">
      <c r="A181" s="2" t="s">
        <v>131</v>
      </c>
      <c r="B181" s="2" t="str">
        <f>VLOOKUP(A181,Regions!A:B,2,0)</f>
        <v>Sub-Saharan Africa</v>
      </c>
      <c r="C181" s="2">
        <v>2020</v>
      </c>
      <c r="D181" s="2" t="str">
        <f>IF(A182=A181,ABS(C182-C181),"")</f>
        <v/>
      </c>
      <c r="E181" s="2" t="str">
        <f>IFERROR(IF(A182=A181,((H181-H182)/(C181-C182)), ""), "null")</f>
        <v/>
      </c>
      <c r="F181" s="2">
        <v>13132.79199</v>
      </c>
      <c r="G181" s="2">
        <v>36.875</v>
      </c>
      <c r="H181" s="2">
        <v>63.961788740000003</v>
      </c>
      <c r="I181" s="2">
        <f>IFERROR(ROUND(H181,0),"null")</f>
        <v>64</v>
      </c>
      <c r="J181" s="2" t="str">
        <f>IF(AND(A182=A181,I181=100,I182=100),"full access", " ")</f>
        <v xml:space="preserve"> </v>
      </c>
      <c r="K181" s="2">
        <v>21.281591500000001</v>
      </c>
      <c r="L181" s="2">
        <v>6.2961194059999999</v>
      </c>
      <c r="M181" s="2">
        <v>8.4605003540000006</v>
      </c>
      <c r="N181" s="2">
        <v>50.74817899</v>
      </c>
      <c r="O181" s="2">
        <f>IFERROR(ROUND(N181,0),"null")</f>
        <v>51</v>
      </c>
      <c r="P181" s="2" t="str">
        <f>IF(AND(A181=A182,O181=100,O182=100),"full access"," ")</f>
        <v xml:space="preserve"> </v>
      </c>
      <c r="Q181" s="2" t="str">
        <f>IFERROR(IF(A182=A181,((N181-N182)/(C181-C182)),""),"null")</f>
        <v/>
      </c>
      <c r="R181" s="2">
        <v>26.14432944</v>
      </c>
      <c r="S181" s="2">
        <v>9.7047191430000002</v>
      </c>
      <c r="T181" s="2">
        <v>13.402772430000001</v>
      </c>
      <c r="U181" s="2">
        <v>86.581690069999993</v>
      </c>
      <c r="V181" s="2">
        <f>IFERROR(ROUND(U181,0),"null")</f>
        <v>87</v>
      </c>
      <c r="W181" s="2" t="str">
        <f>IF(AND(A181=A182,V181=100,V182=100),"full access","")</f>
        <v/>
      </c>
      <c r="X181" s="2" t="str">
        <f>IFERROR(IF(A182=A181,((U181-U182)/(C181-C182)),""),"null")</f>
        <v/>
      </c>
      <c r="Y181" s="2">
        <v>12.957241529999999</v>
      </c>
      <c r="Z181" s="2">
        <v>0.46106839799999999</v>
      </c>
      <c r="AA181" s="2">
        <v>0</v>
      </c>
      <c r="AB181" s="2" t="str">
        <f>IFERROR(IF(A182=A181, Q181-X181, ""), "null")</f>
        <v/>
      </c>
    </row>
    <row r="182" spans="1:28">
      <c r="A182" s="2" t="s">
        <v>132</v>
      </c>
      <c r="B182" s="2" t="str">
        <f>VLOOKUP(A182,Regions!A:B,2,0)</f>
        <v>Sub-Saharan Africa</v>
      </c>
      <c r="C182" s="2">
        <v>2015</v>
      </c>
      <c r="D182" s="2">
        <f>IF(A183=A182,ABS(C183-C182),"")</f>
        <v>5</v>
      </c>
      <c r="E182" s="2">
        <f>IFERROR(IF(A183=A182,((H182-H183)/(C182-C183)), ""), "null")</f>
        <v>5.0512917999999726E-2</v>
      </c>
      <c r="F182" s="2">
        <v>1737.2070309999999</v>
      </c>
      <c r="G182" s="2">
        <v>42.12299728</v>
      </c>
      <c r="H182" s="2">
        <v>58.764347620000002</v>
      </c>
      <c r="I182" s="2">
        <f>IFERROR(ROUND(H182,0),"null")</f>
        <v>59</v>
      </c>
      <c r="J182" s="2" t="str">
        <f>IF(AND(A183=A182,I182=100,I183=100),"full access", " ")</f>
        <v xml:space="preserve"> </v>
      </c>
      <c r="K182" s="2">
        <v>10.59149221</v>
      </c>
      <c r="L182" s="2">
        <v>29.744379070000001</v>
      </c>
      <c r="M182" s="2">
        <v>0.89978109260000005</v>
      </c>
      <c r="N182" s="2">
        <v>48.422730049999998</v>
      </c>
      <c r="O182" s="2">
        <f>IFERROR(ROUND(N182,0),"null")</f>
        <v>48</v>
      </c>
      <c r="P182" s="2" t="str">
        <f>IF(AND(A182=A183,O182=100,O183=100),"full access"," ")</f>
        <v xml:space="preserve"> </v>
      </c>
      <c r="Q182" s="2">
        <f>IFERROR(IF(A183=A182,((N182-N183)/(C182-C183)),""),"null")</f>
        <v>0.28183505000000081</v>
      </c>
      <c r="R182" s="2">
        <v>7.5662803609999996</v>
      </c>
      <c r="S182" s="2">
        <v>42.58264827</v>
      </c>
      <c r="T182" s="2">
        <v>1.428341318</v>
      </c>
      <c r="U182" s="2">
        <v>72.973731220000005</v>
      </c>
      <c r="V182" s="2">
        <f>IFERROR(ROUND(U182,0),"null")</f>
        <v>73</v>
      </c>
      <c r="W182" s="2" t="str">
        <f>IF(AND(A182=A183,V182=100,V183=100),"full access","")</f>
        <v/>
      </c>
      <c r="X182" s="2">
        <f>IFERROR(IF(A183=A182,((U182-U183)/(C182-C183)),""),"null")</f>
        <v>-0.47187666199999967</v>
      </c>
      <c r="Y182" s="2">
        <v>14.748133599999999</v>
      </c>
      <c r="Z182" s="2">
        <v>12.104595890000001</v>
      </c>
      <c r="AA182" s="2">
        <v>0.17353928900000001</v>
      </c>
      <c r="AB182" s="2">
        <f>IFERROR(IF(A183=A182, Q182-X182, ""), "null")</f>
        <v>0.75371171200000053</v>
      </c>
    </row>
    <row r="183" spans="1:28">
      <c r="A183" s="2" t="s">
        <v>132</v>
      </c>
      <c r="B183" s="2" t="str">
        <f>VLOOKUP(A183,Regions!A:B,2,0)</f>
        <v>Sub-Saharan Africa</v>
      </c>
      <c r="C183" s="2">
        <v>2020</v>
      </c>
      <c r="D183" s="2" t="str">
        <f>IF(A184=A183,ABS(C184-C183),"")</f>
        <v/>
      </c>
      <c r="E183" s="2" t="str">
        <f>IFERROR(IF(A184=A183,((H183-H184)/(C183-C184)), ""), "null")</f>
        <v/>
      </c>
      <c r="F183" s="2">
        <v>1967.998047</v>
      </c>
      <c r="G183" s="2">
        <v>44.195999149999999</v>
      </c>
      <c r="H183" s="2">
        <v>59.016912210000001</v>
      </c>
      <c r="I183" s="2">
        <f>IFERROR(ROUND(H183,0),"null")</f>
        <v>59</v>
      </c>
      <c r="J183" s="2" t="str">
        <f>IF(AND(A184=A183,I183=100,I184=100),"full access", " ")</f>
        <v xml:space="preserve"> </v>
      </c>
      <c r="K183" s="2">
        <v>14.03457137</v>
      </c>
      <c r="L183" s="2">
        <v>26.6263769</v>
      </c>
      <c r="M183" s="2">
        <v>0.3221395192</v>
      </c>
      <c r="N183" s="2">
        <v>49.831905300000003</v>
      </c>
      <c r="O183" s="2">
        <f>IFERROR(ROUND(N183,0),"null")</f>
        <v>50</v>
      </c>
      <c r="P183" s="2" t="str">
        <f>IF(AND(A183=A184,O183=100,O184=100),"full access"," ")</f>
        <v xml:space="preserve"> </v>
      </c>
      <c r="Q183" s="2" t="str">
        <f>IFERROR(IF(A184=A183,((N183-N184)/(C183-C184)),""),"null")</f>
        <v/>
      </c>
      <c r="R183" s="2">
        <v>9.2857730259999993</v>
      </c>
      <c r="S183" s="2">
        <v>40.316451290000003</v>
      </c>
      <c r="T183" s="2">
        <v>0.56587038450000005</v>
      </c>
      <c r="U183" s="2">
        <v>70.614347910000006</v>
      </c>
      <c r="V183" s="2">
        <f>IFERROR(ROUND(U183,0),"null")</f>
        <v>71</v>
      </c>
      <c r="W183" s="2" t="str">
        <f>IF(AND(A183=A184,V183=100,V184=100),"full access","")</f>
        <v/>
      </c>
      <c r="X183" s="2" t="str">
        <f>IFERROR(IF(A184=A183,((U183-U184)/(C183-C184)),""),"null")</f>
        <v/>
      </c>
      <c r="Y183" s="2">
        <v>20.03063358</v>
      </c>
      <c r="Z183" s="2">
        <v>9.3406252839999997</v>
      </c>
      <c r="AA183" s="2">
        <v>1.4393226929999999E-2</v>
      </c>
      <c r="AB183" s="2" t="str">
        <f>IFERROR(IF(A184=A183, Q183-X183, ""), "null")</f>
        <v/>
      </c>
    </row>
    <row r="184" spans="1:28">
      <c r="A184" s="2" t="s">
        <v>133</v>
      </c>
      <c r="B184" s="2" t="str">
        <f>VLOOKUP(A184,Regions!A:B,2,0)</f>
        <v>Latin America &amp; Caribbean</v>
      </c>
      <c r="C184" s="2">
        <v>2015</v>
      </c>
      <c r="D184" s="2">
        <f>IF(A185=A184,ABS(C185-C184),"")</f>
        <v>5</v>
      </c>
      <c r="E184" s="2">
        <f>IFERROR(IF(A185=A184,((H184-H185)/(C184-C185)), ""), "null")</f>
        <v>7.8589980000000989E-2</v>
      </c>
      <c r="F184" s="2">
        <v>767.43298340000001</v>
      </c>
      <c r="G184" s="2">
        <v>26.44099808</v>
      </c>
      <c r="H184" s="2">
        <v>95.161856950000001</v>
      </c>
      <c r="I184" s="2">
        <f>IFERROR(ROUND(H184,0),"null")</f>
        <v>95</v>
      </c>
      <c r="J184" s="2" t="str">
        <f>IF(AND(A185=A184,I184=100,I185=100),"full access", " ")</f>
        <v xml:space="preserve"> </v>
      </c>
      <c r="K184" s="2">
        <v>1.233247953</v>
      </c>
      <c r="L184" s="2">
        <v>1.344803287</v>
      </c>
      <c r="M184" s="2">
        <v>2.2600918079999999</v>
      </c>
      <c r="N184" s="2">
        <v>93.422769709999997</v>
      </c>
      <c r="O184" s="2">
        <f>IFERROR(ROUND(N184,0),"null")</f>
        <v>93</v>
      </c>
      <c r="P184" s="2" t="str">
        <f>IF(AND(A184=A185,O184=100,O185=100),"full access"," ")</f>
        <v xml:space="preserve"> </v>
      </c>
      <c r="Q184" s="2">
        <f>IFERROR(IF(A185=A184,((N184-N185)/(C184-C185)),""),"null")</f>
        <v>0.10114415799999961</v>
      </c>
      <c r="R184" s="2">
        <v>1.6765425039999999</v>
      </c>
      <c r="S184" s="2">
        <v>1.82819943</v>
      </c>
      <c r="T184" s="2">
        <v>3.0724883580000002</v>
      </c>
      <c r="U184" s="2">
        <v>100</v>
      </c>
      <c r="V184" s="2">
        <f>IFERROR(ROUND(U184,0),"null")</f>
        <v>100</v>
      </c>
      <c r="W184" s="2" t="str">
        <f>IF(AND(A184=A185,V184=100,V185=100),"full access","")</f>
        <v>full access</v>
      </c>
      <c r="X184" s="2">
        <f>IFERROR(IF(A185=A184,((U184-U185)/(C184-C185)),""),"null")</f>
        <v>0</v>
      </c>
      <c r="Y184" s="2">
        <v>0</v>
      </c>
      <c r="Z184" s="2">
        <v>0</v>
      </c>
      <c r="AA184" s="2">
        <v>0</v>
      </c>
      <c r="AB184" s="2">
        <f>IFERROR(IF(A185=A184, Q184-X184, ""), "null")</f>
        <v>0.10114415799999961</v>
      </c>
    </row>
    <row r="185" spans="1:28">
      <c r="A185" s="2" t="s">
        <v>133</v>
      </c>
      <c r="B185" s="2" t="str">
        <f>VLOOKUP(A185,Regions!A:B,2,0)</f>
        <v>Latin America &amp; Caribbean</v>
      </c>
      <c r="C185" s="2">
        <v>2020</v>
      </c>
      <c r="D185" s="2" t="str">
        <f>IF(A186=A185,ABS(C186-C185),"")</f>
        <v/>
      </c>
      <c r="E185" s="2" t="str">
        <f>IFERROR(IF(A186=A185,((H185-H186)/(C185-C186)), ""), "null")</f>
        <v/>
      </c>
      <c r="F185" s="2">
        <v>786.55902100000003</v>
      </c>
      <c r="G185" s="2">
        <v>26.7859993</v>
      </c>
      <c r="H185" s="2">
        <v>95.554806850000006</v>
      </c>
      <c r="I185" s="2">
        <f>IFERROR(ROUND(H185,0),"null")</f>
        <v>96</v>
      </c>
      <c r="J185" s="2" t="str">
        <f>IF(AND(A186=A185,I185=100,I186=100),"full access", " ")</f>
        <v xml:space="preserve"> </v>
      </c>
      <c r="K185" s="2">
        <v>1.205244408</v>
      </c>
      <c r="L185" s="2">
        <v>1.143069849</v>
      </c>
      <c r="M185" s="2">
        <v>2.0968788969999999</v>
      </c>
      <c r="N185" s="2">
        <v>93.928490499999995</v>
      </c>
      <c r="O185" s="2">
        <f>IFERROR(ROUND(N185,0),"null")</f>
        <v>94</v>
      </c>
      <c r="P185" s="2" t="str">
        <f>IF(AND(A185=A186,O185=100,O186=100),"full access"," ")</f>
        <v xml:space="preserve"> </v>
      </c>
      <c r="Q185" s="2" t="str">
        <f>IFERROR(IF(A186=A185,((N185-N186)/(C185-C186)),""),"null")</f>
        <v/>
      </c>
      <c r="R185" s="2">
        <v>1.6461938620000001</v>
      </c>
      <c r="S185" s="2">
        <v>1.5612748329999999</v>
      </c>
      <c r="T185" s="2">
        <v>2.864040809</v>
      </c>
      <c r="U185" s="2">
        <v>100</v>
      </c>
      <c r="V185" s="2">
        <f>IFERROR(ROUND(U185,0),"null")</f>
        <v>100</v>
      </c>
      <c r="W185" s="2" t="str">
        <f>IF(AND(A185=A186,V185=100,V186=100),"full access","")</f>
        <v/>
      </c>
      <c r="X185" s="2" t="str">
        <f>IFERROR(IF(A186=A185,((U185-U186)/(C185-C186)),""),"null")</f>
        <v/>
      </c>
      <c r="Y185" s="2">
        <v>0</v>
      </c>
      <c r="Z185" s="2">
        <v>0</v>
      </c>
      <c r="AA185" s="2">
        <v>0</v>
      </c>
      <c r="AB185" s="2" t="str">
        <f>IFERROR(IF(A186=A185, Q185-X185, ""), "null")</f>
        <v/>
      </c>
    </row>
    <row r="186" spans="1:28">
      <c r="A186" s="2" t="s">
        <v>134</v>
      </c>
      <c r="B186" s="2" t="str">
        <f>VLOOKUP(A186,Regions!A:B,2,0)</f>
        <v>Sub-Saharan Africa</v>
      </c>
      <c r="C186" s="2">
        <v>2015</v>
      </c>
      <c r="D186" s="2">
        <f>IF(A187=A186,ABS(C187-C186),"")</f>
        <v>5</v>
      </c>
      <c r="E186" s="2">
        <f>IFERROR(IF(A187=A186,((H186-H187)/(C186-C187)), ""), "null")</f>
        <v>0.4255644920000009</v>
      </c>
      <c r="F186" s="2">
        <v>10695.54004</v>
      </c>
      <c r="G186" s="2">
        <v>52.426998140000002</v>
      </c>
      <c r="H186" s="2">
        <v>64.567485939999997</v>
      </c>
      <c r="I186" s="2">
        <f>IFERROR(ROUND(H186,0),"null")</f>
        <v>65</v>
      </c>
      <c r="J186" s="2" t="str">
        <f>IF(AND(A187=A186,I186=100,I187=100),"full access", " ")</f>
        <v xml:space="preserve"> </v>
      </c>
      <c r="K186" s="2">
        <v>9.2184870100000005</v>
      </c>
      <c r="L186" s="2">
        <v>25.477839450000001</v>
      </c>
      <c r="M186" s="2">
        <v>0.73618759609999995</v>
      </c>
      <c r="N186" s="2">
        <v>42.416418049999997</v>
      </c>
      <c r="O186" s="2">
        <f>IFERROR(ROUND(N186,0),"null")</f>
        <v>42</v>
      </c>
      <c r="P186" s="2" t="str">
        <f>IF(AND(A186=A187,O186=100,O187=100),"full access"," ")</f>
        <v xml:space="preserve"> </v>
      </c>
      <c r="Q186" s="2">
        <f>IFERROR(IF(A187=A186,((N186-N187)/(C186-C187)),""),"null")</f>
        <v>8.5856410000000952E-2</v>
      </c>
      <c r="R186" s="2">
        <v>12.228897890000001</v>
      </c>
      <c r="S186" s="2">
        <v>43.807193750000003</v>
      </c>
      <c r="T186" s="2">
        <v>1.5474903170000001</v>
      </c>
      <c r="U186" s="2">
        <v>84.667679129999996</v>
      </c>
      <c r="V186" s="2">
        <f>IFERROR(ROUND(U186,0),"null")</f>
        <v>85</v>
      </c>
      <c r="W186" s="2" t="str">
        <f>IF(AND(A186=A187,V186=100,V187=100),"full access","")</f>
        <v/>
      </c>
      <c r="X186" s="2">
        <f>IFERROR(IF(A187=A186,((U186-U187)/(C186-C187)),""),"null")</f>
        <v>-9.0115679999996697E-3</v>
      </c>
      <c r="Y186" s="2">
        <v>6.4867974830000001</v>
      </c>
      <c r="Z186" s="2">
        <v>8.8455233880000002</v>
      </c>
      <c r="AA186" s="2">
        <v>0</v>
      </c>
      <c r="AB186" s="2">
        <f>IFERROR(IF(A187=A186, Q186-X186, ""), "null")</f>
        <v>9.4867978000000616E-2</v>
      </c>
    </row>
    <row r="187" spans="1:28">
      <c r="A187" s="2" t="s">
        <v>134</v>
      </c>
      <c r="B187" s="2" t="str">
        <f>VLOOKUP(A187,Regions!A:B,2,0)</f>
        <v>Sub-Saharan Africa</v>
      </c>
      <c r="C187" s="2">
        <v>2020</v>
      </c>
      <c r="D187" s="2" t="str">
        <f>IF(A188=A187,ABS(C188-C187),"")</f>
        <v/>
      </c>
      <c r="E187" s="2" t="str">
        <f>IFERROR(IF(A188=A187,((H187-H188)/(C187-C188)), ""), "null")</f>
        <v/>
      </c>
      <c r="F187" s="2">
        <v>11402.5332</v>
      </c>
      <c r="G187" s="2">
        <v>57.087997440000002</v>
      </c>
      <c r="H187" s="2">
        <v>66.695308400000002</v>
      </c>
      <c r="I187" s="2">
        <f>IFERROR(ROUND(H187,0),"null")</f>
        <v>67</v>
      </c>
      <c r="J187" s="2" t="str">
        <f>IF(AND(A188=A187,I187=100,I188=100),"full access", " ")</f>
        <v xml:space="preserve"> </v>
      </c>
      <c r="K187" s="2">
        <v>9.8145436519999993</v>
      </c>
      <c r="L187" s="2">
        <v>23.490147950000001</v>
      </c>
      <c r="M187" s="2">
        <v>0</v>
      </c>
      <c r="N187" s="2">
        <v>42.845700100000002</v>
      </c>
      <c r="O187" s="2">
        <f>IFERROR(ROUND(N187,0),"null")</f>
        <v>43</v>
      </c>
      <c r="P187" s="2" t="str">
        <f>IF(AND(A187=A188,O187=100,O188=100),"full access"," ")</f>
        <v xml:space="preserve"> </v>
      </c>
      <c r="Q187" s="2" t="str">
        <f>IFERROR(IF(A188=A187,((N187-N188)/(C187-C188)),""),"null")</f>
        <v/>
      </c>
      <c r="R187" s="2">
        <v>13.25598695</v>
      </c>
      <c r="S187" s="2">
        <v>43.898312949999998</v>
      </c>
      <c r="T187" s="2">
        <v>0</v>
      </c>
      <c r="U187" s="2">
        <v>84.622621289999998</v>
      </c>
      <c r="V187" s="2">
        <f>IFERROR(ROUND(U187,0),"null")</f>
        <v>85</v>
      </c>
      <c r="W187" s="2" t="str">
        <f>IF(AND(A187=A188,V187=100,V188=100),"full access","")</f>
        <v/>
      </c>
      <c r="X187" s="2" t="str">
        <f>IFERROR(IF(A188=A187,((U187-U188)/(C187-C188)),""),"null")</f>
        <v/>
      </c>
      <c r="Y187" s="2">
        <v>7.2276738790000001</v>
      </c>
      <c r="Z187" s="2">
        <v>8.1497048349999996</v>
      </c>
      <c r="AA187" s="2">
        <v>0</v>
      </c>
      <c r="AB187" s="2" t="str">
        <f>IFERROR(IF(A188=A187, Q187-X187, ""), "null")</f>
        <v/>
      </c>
    </row>
    <row r="188" spans="1:28">
      <c r="A188" s="2" t="s">
        <v>135</v>
      </c>
      <c r="B188" s="2" t="str">
        <f>VLOOKUP(A188,Regions!A:B,2,0)</f>
        <v>Latin America &amp; Caribbean</v>
      </c>
      <c r="C188" s="2">
        <v>2015</v>
      </c>
      <c r="D188" s="2">
        <f>IF(A189=A188,ABS(C189-C188),"")</f>
        <v>5</v>
      </c>
      <c r="E188" s="2">
        <f>IFERROR(IF(A189=A188,((H188-H189)/(C188-C189)), ""), "null")</f>
        <v>0.48696208400000102</v>
      </c>
      <c r="F188" s="2">
        <v>9112.9042969999991</v>
      </c>
      <c r="G188" s="2">
        <v>55.164997100000001</v>
      </c>
      <c r="H188" s="2">
        <v>93.254410710000002</v>
      </c>
      <c r="I188" s="2">
        <f>IFERROR(ROUND(H188,0),"null")</f>
        <v>93</v>
      </c>
      <c r="J188" s="2" t="str">
        <f>IF(AND(A189=A188,I188=100,I189=100),"full access", " ")</f>
        <v xml:space="preserve"> </v>
      </c>
      <c r="K188" s="2">
        <v>0.43175410669999997</v>
      </c>
      <c r="L188" s="2">
        <v>6.0221561560000003</v>
      </c>
      <c r="M188" s="2">
        <v>0.29167902839999998</v>
      </c>
      <c r="N188" s="2">
        <v>86.437073749999996</v>
      </c>
      <c r="O188" s="2">
        <f>IFERROR(ROUND(N188,0),"null")</f>
        <v>86</v>
      </c>
      <c r="P188" s="2" t="str">
        <f>IF(AND(A188=A189,O188=100,O189=100),"full access"," ")</f>
        <v xml:space="preserve"> </v>
      </c>
      <c r="Q188" s="2">
        <f>IFERROR(IF(A189=A188,((N188-N189)/(C188-C189)),""),"null")</f>
        <v>0.68774516000000008</v>
      </c>
      <c r="R188" s="2">
        <v>0.77584410459999997</v>
      </c>
      <c r="S188" s="2">
        <v>12.14597638</v>
      </c>
      <c r="T188" s="2">
        <v>0.6411057671</v>
      </c>
      <c r="U188" s="2">
        <v>98.795162680000004</v>
      </c>
      <c r="V188" s="2">
        <f>IFERROR(ROUND(U188,0),"null")</f>
        <v>99</v>
      </c>
      <c r="W188" s="2" t="str">
        <f>IF(AND(A188=A189,V188=100,V189=100),"full access","")</f>
        <v/>
      </c>
      <c r="X188" s="2">
        <f>IFERROR(IF(A189=A188,((U188-U189)/(C188-C189)),""),"null")</f>
        <v>0.20842402600000015</v>
      </c>
      <c r="Y188" s="2">
        <v>0.15209716100000001</v>
      </c>
      <c r="Z188" s="2">
        <v>1.04505549</v>
      </c>
      <c r="AA188" s="2">
        <v>7.6846736400000004E-3</v>
      </c>
      <c r="AB188" s="2">
        <f>IFERROR(IF(A189=A188, Q188-X188, ""), "null")</f>
        <v>0.47932113399999993</v>
      </c>
    </row>
    <row r="189" spans="1:28">
      <c r="A189" s="2" t="s">
        <v>135</v>
      </c>
      <c r="B189" s="2" t="str">
        <f>VLOOKUP(A189,Regions!A:B,2,0)</f>
        <v>Latin America &amp; Caribbean</v>
      </c>
      <c r="C189" s="2">
        <v>2020</v>
      </c>
      <c r="D189" s="2" t="str">
        <f>IF(A190=A189,ABS(C190-C189),"")</f>
        <v/>
      </c>
      <c r="E189" s="2" t="str">
        <f>IFERROR(IF(A190=A189,((H189-H190)/(C189-C190)), ""), "null")</f>
        <v/>
      </c>
      <c r="F189" s="2">
        <v>9904.6083980000003</v>
      </c>
      <c r="G189" s="2">
        <v>58.358997340000002</v>
      </c>
      <c r="H189" s="2">
        <v>95.689221130000007</v>
      </c>
      <c r="I189" s="2">
        <f>IFERROR(ROUND(H189,0),"null")</f>
        <v>96</v>
      </c>
      <c r="J189" s="2" t="str">
        <f>IF(AND(A190=A189,I189=100,I190=100),"full access", " ")</f>
        <v xml:space="preserve"> </v>
      </c>
      <c r="K189" s="2">
        <v>0.4256206085</v>
      </c>
      <c r="L189" s="2">
        <v>3.8851582640000002</v>
      </c>
      <c r="M189" s="2">
        <v>0</v>
      </c>
      <c r="N189" s="2">
        <v>89.875799549999996</v>
      </c>
      <c r="O189" s="2">
        <f>IFERROR(ROUND(N189,0),"null")</f>
        <v>90</v>
      </c>
      <c r="P189" s="2" t="str">
        <f>IF(AND(A189=A190,O189=100,O190=100),"full access"," ")</f>
        <v xml:space="preserve"> </v>
      </c>
      <c r="Q189" s="2" t="str">
        <f>IFERROR(IF(A190=A189,((N189-N190)/(C189-C190)),""),"null")</f>
        <v/>
      </c>
      <c r="R189" s="2">
        <v>0.80670950789999996</v>
      </c>
      <c r="S189" s="2">
        <v>9.3174909459999995</v>
      </c>
      <c r="T189" s="2">
        <v>0</v>
      </c>
      <c r="U189" s="2">
        <v>99.837282810000005</v>
      </c>
      <c r="V189" s="2">
        <f>IFERROR(ROUND(U189,0),"null")</f>
        <v>100</v>
      </c>
      <c r="W189" s="2" t="str">
        <f>IF(AND(A189=A190,V189=100,V190=100),"full access","")</f>
        <v/>
      </c>
      <c r="X189" s="2" t="str">
        <f>IFERROR(IF(A190=A189,((U189-U190)/(C189-C190)),""),"null")</f>
        <v/>
      </c>
      <c r="Y189" s="2">
        <v>0.15370152619999999</v>
      </c>
      <c r="Z189" s="2">
        <v>9.0156632960000007E-3</v>
      </c>
      <c r="AA189" s="2">
        <v>0</v>
      </c>
      <c r="AB189" s="2" t="str">
        <f>IFERROR(IF(A190=A189, Q189-X189, ""), "null")</f>
        <v/>
      </c>
    </row>
    <row r="190" spans="1:28">
      <c r="A190" s="2" t="s">
        <v>136</v>
      </c>
      <c r="B190" s="2" t="str">
        <f>VLOOKUP(A190,Regions!A:B,2,0)</f>
        <v>Europe &amp; Central Asia</v>
      </c>
      <c r="C190" s="2">
        <v>2015</v>
      </c>
      <c r="D190" s="2">
        <f>IF(A191=A190,ABS(C191-C190),"")</f>
        <v>5</v>
      </c>
      <c r="E190" s="2">
        <f>IFERROR(IF(A191=A190,((H190-H191)/(C190-C191)), ""), "null")</f>
        <v>5.8937020000001897E-3</v>
      </c>
      <c r="F190" s="2">
        <v>9777.9248050000006</v>
      </c>
      <c r="G190" s="2">
        <v>70.5</v>
      </c>
      <c r="H190" s="2">
        <v>99.970528959999996</v>
      </c>
      <c r="I190" s="2">
        <f>IFERROR(ROUND(H190,0),"null")</f>
        <v>100</v>
      </c>
      <c r="J190" s="2" t="str">
        <f>IF(AND(A191=A190,I190=100,I191=100),"full access", " ")</f>
        <v>full access</v>
      </c>
      <c r="K190" s="2">
        <v>0</v>
      </c>
      <c r="L190" s="2">
        <v>2.9471039399999999E-2</v>
      </c>
      <c r="M190" s="2">
        <v>0</v>
      </c>
      <c r="N190" s="2">
        <v>99.900089719999997</v>
      </c>
      <c r="O190" s="2">
        <f>IFERROR(ROUND(N190,0),"null")</f>
        <v>100</v>
      </c>
      <c r="P190" s="2" t="str">
        <f>IF(AND(A190=A191,O190=100,O191=100),"full access"," ")</f>
        <v>full access</v>
      </c>
      <c r="Q190" s="2">
        <f>IFERROR(IF(A191=A190,((N190-N191)/(C190-C191)),""),"null")</f>
        <v>1.9982056000000626E-2</v>
      </c>
      <c r="R190" s="2">
        <v>0</v>
      </c>
      <c r="S190" s="2">
        <v>9.9910284789999998E-2</v>
      </c>
      <c r="T190" s="2">
        <v>0</v>
      </c>
      <c r="U190" s="2">
        <v>100</v>
      </c>
      <c r="V190" s="2">
        <f>IFERROR(ROUND(U190,0),"null")</f>
        <v>100</v>
      </c>
      <c r="W190" s="2" t="str">
        <f>IF(AND(A190=A191,V190=100,V191=100),"full access","")</f>
        <v>full access</v>
      </c>
      <c r="X190" s="2">
        <f>IFERROR(IF(A191=A190,((U190-U191)/(C190-C191)),""),"null")</f>
        <v>0</v>
      </c>
      <c r="Y190" s="2">
        <v>0</v>
      </c>
      <c r="Z190" s="2">
        <v>0</v>
      </c>
      <c r="AA190" s="2">
        <v>0</v>
      </c>
      <c r="AB190" s="2">
        <f>IFERROR(IF(A191=A190, Q190-X190, ""), "null")</f>
        <v>1.9982056000000626E-2</v>
      </c>
    </row>
    <row r="191" spans="1:28">
      <c r="A191" s="2" t="s">
        <v>136</v>
      </c>
      <c r="B191" s="2" t="str">
        <f>VLOOKUP(A191,Regions!A:B,2,0)</f>
        <v>Europe &amp; Central Asia</v>
      </c>
      <c r="C191" s="2">
        <v>2020</v>
      </c>
      <c r="D191" s="2" t="str">
        <f>IF(A192=A191,ABS(C192-C191),"")</f>
        <v/>
      </c>
      <c r="E191" s="2" t="str">
        <f>IFERROR(IF(A192=A191,((H191-H192)/(C191-C192)), ""), "null")</f>
        <v/>
      </c>
      <c r="F191" s="2">
        <v>9660.3496090000008</v>
      </c>
      <c r="G191" s="2">
        <v>71.942001340000004</v>
      </c>
      <c r="H191" s="2">
        <v>99.999997469999997</v>
      </c>
      <c r="I191" s="2">
        <f>IFERROR(ROUND(H191,0),"null")</f>
        <v>100</v>
      </c>
      <c r="J191" s="2" t="str">
        <f>IF(AND(A192=A191,I191=100,I192=100),"full access", " ")</f>
        <v xml:space="preserve"> </v>
      </c>
      <c r="K191" s="2">
        <v>0</v>
      </c>
      <c r="L191" s="2">
        <v>2.5272441919999999E-6</v>
      </c>
      <c r="M191" s="2">
        <v>0</v>
      </c>
      <c r="N191" s="2">
        <v>100</v>
      </c>
      <c r="O191" s="2">
        <f>IFERROR(ROUND(N191,0),"null")</f>
        <v>100</v>
      </c>
      <c r="P191" s="2" t="str">
        <f>IF(AND(A191=A192,O191=100,O192=100),"full access"," ")</f>
        <v xml:space="preserve"> </v>
      </c>
      <c r="Q191" s="2" t="str">
        <f>IFERROR(IF(A192=A191,((N191-N192)/(C191-C192)),""),"null")</f>
        <v/>
      </c>
      <c r="R191" s="2">
        <v>0</v>
      </c>
      <c r="S191" s="2">
        <v>0</v>
      </c>
      <c r="T191" s="2">
        <v>0</v>
      </c>
      <c r="U191" s="2">
        <v>100</v>
      </c>
      <c r="V191" s="2">
        <f>IFERROR(ROUND(U191,0),"null")</f>
        <v>100</v>
      </c>
      <c r="W191" s="2" t="str">
        <f>IF(AND(A191=A192,V191=100,V192=100),"full access","")</f>
        <v/>
      </c>
      <c r="X191" s="2" t="str">
        <f>IFERROR(IF(A192=A191,((U191-U192)/(C191-C192)),""),"null")</f>
        <v/>
      </c>
      <c r="Y191" s="2">
        <v>0</v>
      </c>
      <c r="Z191" s="2">
        <v>0</v>
      </c>
      <c r="AA191" s="2">
        <v>0</v>
      </c>
      <c r="AB191" s="2" t="str">
        <f>IFERROR(IF(A192=A191, Q191-X191, ""), "null")</f>
        <v/>
      </c>
    </row>
    <row r="192" spans="1:28">
      <c r="A192" s="2" t="s">
        <v>137</v>
      </c>
      <c r="B192" s="2" t="str">
        <f>VLOOKUP(A192,Regions!A:B,2,0)</f>
        <v>Europe &amp; Central Asia</v>
      </c>
      <c r="C192" s="2">
        <v>2015</v>
      </c>
      <c r="D192" s="2">
        <f>IF(A193=A192,ABS(C193-C192),"")</f>
        <v>5</v>
      </c>
      <c r="E192" s="2">
        <f>IFERROR(IF(A193=A192,((H192-H193)/(C192-C193)), ""), "null")</f>
        <v>-1.0180000003856548E-6</v>
      </c>
      <c r="F192" s="2">
        <v>330.23699950000002</v>
      </c>
      <c r="G192" s="2">
        <v>93.699996949999999</v>
      </c>
      <c r="H192" s="2">
        <v>100.00000230000001</v>
      </c>
      <c r="I192" s="2">
        <f>IFERROR(ROUND(H192,0),"null")</f>
        <v>100</v>
      </c>
      <c r="J192" s="2" t="str">
        <f>IF(AND(A193=A192,I192=100,I193=100),"full access", " ")</f>
        <v>full access</v>
      </c>
      <c r="K192" s="2">
        <v>0</v>
      </c>
      <c r="L192" s="2">
        <v>0</v>
      </c>
      <c r="M192" s="2">
        <v>0</v>
      </c>
      <c r="N192" s="2">
        <v>100</v>
      </c>
      <c r="O192" s="2">
        <f>IFERROR(ROUND(N192,0),"null")</f>
        <v>100</v>
      </c>
      <c r="P192" s="2" t="str">
        <f>IF(AND(A192=A193,O192=100,O193=100),"full access"," ")</f>
        <v>full access</v>
      </c>
      <c r="Q192" s="2">
        <f>IFERROR(IF(A193=A192,((N192-N193)/(C192-C193)),""),"null")</f>
        <v>0</v>
      </c>
      <c r="R192" s="2">
        <v>0</v>
      </c>
      <c r="S192" s="2">
        <v>0</v>
      </c>
      <c r="T192" s="2">
        <v>0</v>
      </c>
      <c r="U192" s="2">
        <v>100</v>
      </c>
      <c r="V192" s="2">
        <f>IFERROR(ROUND(U192,0),"null")</f>
        <v>100</v>
      </c>
      <c r="W192" s="2" t="str">
        <f>IF(AND(A192=A193,V192=100,V193=100),"full access","")</f>
        <v>full access</v>
      </c>
      <c r="X192" s="2">
        <f>IFERROR(IF(A193=A192,((U192-U193)/(C192-C193)),""),"null")</f>
        <v>0</v>
      </c>
      <c r="Y192" s="2">
        <v>0</v>
      </c>
      <c r="Z192" s="2">
        <v>0</v>
      </c>
      <c r="AA192" s="2">
        <v>0</v>
      </c>
      <c r="AB192" s="2">
        <f>IFERROR(IF(A193=A192, Q192-X192, ""), "null")</f>
        <v>0</v>
      </c>
    </row>
    <row r="193" spans="1:28">
      <c r="A193" s="2" t="s">
        <v>137</v>
      </c>
      <c r="B193" s="2" t="str">
        <f>VLOOKUP(A193,Regions!A:B,2,0)</f>
        <v>Europe &amp; Central Asia</v>
      </c>
      <c r="C193" s="2">
        <v>2020</v>
      </c>
      <c r="D193" s="2" t="str">
        <f>IF(A194=A193,ABS(C194-C193),"")</f>
        <v/>
      </c>
      <c r="E193" s="2" t="str">
        <f>IFERROR(IF(A194=A193,((H193-H194)/(C193-C194)), ""), "null")</f>
        <v/>
      </c>
      <c r="F193" s="2">
        <v>341.25</v>
      </c>
      <c r="G193" s="2">
        <v>93.897994999999995</v>
      </c>
      <c r="H193" s="2">
        <v>99.999997210000004</v>
      </c>
      <c r="I193" s="2">
        <f>IFERROR(ROUND(H193,0),"null")</f>
        <v>100</v>
      </c>
      <c r="J193" s="2" t="str">
        <f>IF(AND(A194=A193,I193=100,I194=100),"full access", " ")</f>
        <v xml:space="preserve"> </v>
      </c>
      <c r="K193" s="2">
        <v>0</v>
      </c>
      <c r="L193" s="2">
        <v>2.7946500150000002E-6</v>
      </c>
      <c r="M193" s="2">
        <v>0</v>
      </c>
      <c r="N193" s="2">
        <v>100</v>
      </c>
      <c r="O193" s="2">
        <f>IFERROR(ROUND(N193,0),"null")</f>
        <v>100</v>
      </c>
      <c r="P193" s="2" t="str">
        <f>IF(AND(A193=A194,O193=100,O194=100),"full access"," ")</f>
        <v xml:space="preserve"> </v>
      </c>
      <c r="Q193" s="2" t="str">
        <f>IFERROR(IF(A194=A193,((N193-N194)/(C193-C194)),""),"null")</f>
        <v/>
      </c>
      <c r="R193" s="2">
        <v>0</v>
      </c>
      <c r="S193" s="2">
        <v>0</v>
      </c>
      <c r="T193" s="2">
        <v>0</v>
      </c>
      <c r="U193" s="2">
        <v>100</v>
      </c>
      <c r="V193" s="2">
        <f>IFERROR(ROUND(U193,0),"null")</f>
        <v>100</v>
      </c>
      <c r="W193" s="2" t="str">
        <f>IF(AND(A193=A194,V193=100,V194=100),"full access","")</f>
        <v/>
      </c>
      <c r="X193" s="2" t="str">
        <f>IFERROR(IF(A194=A193,((U193-U194)/(C193-C194)),""),"null")</f>
        <v/>
      </c>
      <c r="Y193" s="2">
        <v>0</v>
      </c>
      <c r="Z193" s="2">
        <v>0</v>
      </c>
      <c r="AA193" s="2">
        <v>0</v>
      </c>
      <c r="AB193" s="2" t="str">
        <f>IFERROR(IF(A194=A193, Q193-X193, ""), "null")</f>
        <v/>
      </c>
    </row>
    <row r="194" spans="1:28">
      <c r="A194" s="2" t="s">
        <v>138</v>
      </c>
      <c r="B194" s="2" t="str">
        <f>VLOOKUP(A194,Regions!A:B,2,0)</f>
        <v>South Asia</v>
      </c>
      <c r="C194" s="2">
        <v>2015</v>
      </c>
      <c r="D194" s="2">
        <f>IF(A195=A194,ABS(C195-C194),"")</f>
        <v>5</v>
      </c>
      <c r="E194" s="2">
        <f>IFERROR(IF(A195=A194,((H194-H195)/(C194-C195)), ""), "null")</f>
        <v>0.47027847999999894</v>
      </c>
      <c r="F194" s="2">
        <v>1310152.375</v>
      </c>
      <c r="G194" s="2">
        <v>32.777000430000001</v>
      </c>
      <c r="H194" s="2">
        <v>88.138132630000001</v>
      </c>
      <c r="I194" s="2">
        <f>IFERROR(ROUND(H194,0),"null")</f>
        <v>88</v>
      </c>
      <c r="J194" s="2" t="str">
        <f>IF(AND(A195=A194,I194=100,I195=100),"full access", " ")</f>
        <v xml:space="preserve"> </v>
      </c>
      <c r="K194" s="2">
        <v>4.6925990149999999</v>
      </c>
      <c r="L194" s="2">
        <v>6.4124515520000003</v>
      </c>
      <c r="M194" s="2">
        <v>0.75681680389999995</v>
      </c>
      <c r="N194" s="2">
        <v>85.572000349999996</v>
      </c>
      <c r="O194" s="2">
        <f>IFERROR(ROUND(N194,0),"null")</f>
        <v>86</v>
      </c>
      <c r="P194" s="2" t="str">
        <f>IF(AND(A194=A195,O194=100,O195=100),"full access"," ")</f>
        <v xml:space="preserve"> </v>
      </c>
      <c r="Q194" s="2">
        <f>IFERROR(IF(A195=A194,((N194-N195)/(C194-C195)),""),"null")</f>
        <v>0.64210055599999971</v>
      </c>
      <c r="R194" s="2">
        <v>5.5421338929999999</v>
      </c>
      <c r="S194" s="2">
        <v>7.8808700040000002</v>
      </c>
      <c r="T194" s="2">
        <v>1.004995751</v>
      </c>
      <c r="U194" s="2">
        <v>93.401064610000006</v>
      </c>
      <c r="V194" s="2">
        <f>IFERROR(ROUND(U194,0),"null")</f>
        <v>93</v>
      </c>
      <c r="W194" s="2" t="str">
        <f>IF(AND(A194=A195,V194=100,V195=100),"full access","")</f>
        <v/>
      </c>
      <c r="X194" s="2">
        <f>IFERROR(IF(A195=A194,((U194-U195)/(C194-C195)),""),"null")</f>
        <v>5.379433800000015E-2</v>
      </c>
      <c r="Y194" s="2">
        <v>2.9502709540000001</v>
      </c>
      <c r="Z194" s="2">
        <v>3.4008427999999999</v>
      </c>
      <c r="AA194" s="2">
        <v>0.2478216409</v>
      </c>
      <c r="AB194" s="2">
        <f>IFERROR(IF(A195=A194, Q194-X194, ""), "null")</f>
        <v>0.5883062179999996</v>
      </c>
    </row>
    <row r="195" spans="1:28">
      <c r="A195" s="2" t="s">
        <v>138</v>
      </c>
      <c r="B195" s="2" t="str">
        <f>VLOOKUP(A195,Regions!A:B,2,0)</f>
        <v>South Asia</v>
      </c>
      <c r="C195" s="2">
        <v>2020</v>
      </c>
      <c r="D195" s="2" t="str">
        <f>IF(A196=A195,ABS(C196-C195),"")</f>
        <v/>
      </c>
      <c r="E195" s="2" t="str">
        <f>IFERROR(IF(A196=A195,((H195-H196)/(C195-C196)), ""), "null")</f>
        <v/>
      </c>
      <c r="F195" s="2">
        <v>1380004.375</v>
      </c>
      <c r="G195" s="2">
        <v>34.926002500000003</v>
      </c>
      <c r="H195" s="2">
        <v>90.489525029999996</v>
      </c>
      <c r="I195" s="2">
        <f>IFERROR(ROUND(H195,0),"null")</f>
        <v>90</v>
      </c>
      <c r="J195" s="2" t="str">
        <f>IF(AND(A196=A195,I195=100,I196=100),"full access", " ")</f>
        <v xml:space="preserve"> </v>
      </c>
      <c r="K195" s="2">
        <v>4.9836025619999997</v>
      </c>
      <c r="L195" s="2">
        <v>3.9631539450000002</v>
      </c>
      <c r="M195" s="2">
        <v>0.56371846260000003</v>
      </c>
      <c r="N195" s="2">
        <v>88.782503129999995</v>
      </c>
      <c r="O195" s="2">
        <f>IFERROR(ROUND(N195,0),"null")</f>
        <v>89</v>
      </c>
      <c r="P195" s="2" t="str">
        <f>IF(AND(A195=A196,O195=100,O196=100),"full access"," ")</f>
        <v xml:space="preserve"> </v>
      </c>
      <c r="Q195" s="2" t="str">
        <f>IFERROR(IF(A196=A195,((N195-N196)/(C195-C196)),""),"null")</f>
        <v/>
      </c>
      <c r="R195" s="2">
        <v>5.9022100540000002</v>
      </c>
      <c r="S195" s="2">
        <v>4.5763757299999996</v>
      </c>
      <c r="T195" s="2">
        <v>0.73891108559999996</v>
      </c>
      <c r="U195" s="2">
        <v>93.670036300000007</v>
      </c>
      <c r="V195" s="2">
        <f>IFERROR(ROUND(U195,0),"null")</f>
        <v>94</v>
      </c>
      <c r="W195" s="2" t="str">
        <f>IF(AND(A195=A196,V195=100,V196=100),"full access","")</f>
        <v/>
      </c>
      <c r="X195" s="2" t="str">
        <f>IFERROR(IF(A196=A195,((U195-U196)/(C195-C196)),""),"null")</f>
        <v/>
      </c>
      <c r="Y195" s="2">
        <v>3.2720560270000001</v>
      </c>
      <c r="Z195" s="2">
        <v>2.8206075230000001</v>
      </c>
      <c r="AA195" s="2">
        <v>0.2373001538</v>
      </c>
      <c r="AB195" s="2" t="str">
        <f>IFERROR(IF(A196=A195, Q195-X195, ""), "null")</f>
        <v/>
      </c>
    </row>
    <row r="196" spans="1:28">
      <c r="A196" s="2" t="s">
        <v>140</v>
      </c>
      <c r="B196" s="2" t="str">
        <f>VLOOKUP(A196,Regions!A:B,2,0)</f>
        <v>East Asia &amp; Pacific</v>
      </c>
      <c r="C196" s="2">
        <v>2015</v>
      </c>
      <c r="D196" s="2">
        <f>IF(A197=A196,ABS(C197-C196),"")</f>
        <v>5</v>
      </c>
      <c r="E196" s="2">
        <f>IFERROR(IF(A197=A196,((H196-H197)/(C196-C197)), ""), "null")</f>
        <v>0.77759933000000103</v>
      </c>
      <c r="F196" s="2">
        <v>258383.25</v>
      </c>
      <c r="G196" s="2">
        <v>53.312999730000001</v>
      </c>
      <c r="H196" s="2">
        <v>88.527352960000002</v>
      </c>
      <c r="I196" s="2">
        <f>IFERROR(ROUND(H196,0),"null")</f>
        <v>89</v>
      </c>
      <c r="J196" s="2" t="str">
        <f>IF(AND(A197=A196,I196=100,I197=100),"full access", " ")</f>
        <v xml:space="preserve"> </v>
      </c>
      <c r="K196" s="2">
        <v>0.79413052260000006</v>
      </c>
      <c r="L196" s="2">
        <v>8.9438595640000003</v>
      </c>
      <c r="M196" s="2">
        <v>1.7346569540000001</v>
      </c>
      <c r="N196" s="2">
        <v>80.630791189999997</v>
      </c>
      <c r="O196" s="2">
        <f>IFERROR(ROUND(N196,0),"null")</f>
        <v>81</v>
      </c>
      <c r="P196" s="2" t="str">
        <f>IF(AND(A196=A197,O196=100,O197=100),"full access"," ")</f>
        <v xml:space="preserve"> </v>
      </c>
      <c r="Q196" s="2">
        <f>IFERROR(IF(A197=A196,((N196-N197)/(C196-C197)),""),"null")</f>
        <v>1.0074342380000019</v>
      </c>
      <c r="R196" s="2">
        <v>0.97404573149999996</v>
      </c>
      <c r="S196" s="2">
        <v>14.98518808</v>
      </c>
      <c r="T196" s="2">
        <v>3.4099750009999998</v>
      </c>
      <c r="U196" s="2">
        <v>95.442491759999996</v>
      </c>
      <c r="V196" s="2">
        <f>IFERROR(ROUND(U196,0),"null")</f>
        <v>95</v>
      </c>
      <c r="W196" s="2" t="str">
        <f>IF(AND(A196=A197,V196=100,V197=100),"full access","")</f>
        <v/>
      </c>
      <c r="X196" s="2">
        <f>IFERROR(IF(A197=A196,((U196-U197)/(C196-C197)),""),"null")</f>
        <v>0.42760406200000034</v>
      </c>
      <c r="Y196" s="2">
        <v>0.63657604779999999</v>
      </c>
      <c r="Z196" s="2">
        <v>3.6533766409999999</v>
      </c>
      <c r="AA196" s="2">
        <v>0.26755555320000002</v>
      </c>
      <c r="AB196" s="2">
        <f>IFERROR(IF(A197=A196, Q196-X196, ""), "null")</f>
        <v>0.57983017600000153</v>
      </c>
    </row>
    <row r="197" spans="1:28">
      <c r="A197" s="2" t="s">
        <v>140</v>
      </c>
      <c r="B197" s="2" t="str">
        <f>VLOOKUP(A197,Regions!A:B,2,0)</f>
        <v>East Asia &amp; Pacific</v>
      </c>
      <c r="C197" s="2">
        <v>2020</v>
      </c>
      <c r="D197" s="2" t="str">
        <f>IF(A198=A197,ABS(C198-C197),"")</f>
        <v/>
      </c>
      <c r="E197" s="2" t="str">
        <f>IFERROR(IF(A198=A197,((H197-H198)/(C197-C198)), ""), "null")</f>
        <v/>
      </c>
      <c r="F197" s="2">
        <v>273523.625</v>
      </c>
      <c r="G197" s="2">
        <v>56.640998840000002</v>
      </c>
      <c r="H197" s="2">
        <v>92.415349610000007</v>
      </c>
      <c r="I197" s="2">
        <f>IFERROR(ROUND(H197,0),"null")</f>
        <v>92</v>
      </c>
      <c r="J197" s="2" t="str">
        <f>IF(AND(A198=A197,I197=100,I198=100),"full access", " ")</f>
        <v xml:space="preserve"> </v>
      </c>
      <c r="K197" s="2">
        <v>0.85547463349999997</v>
      </c>
      <c r="L197" s="2">
        <v>5.553871666</v>
      </c>
      <c r="M197" s="2">
        <v>1.175304087</v>
      </c>
      <c r="N197" s="2">
        <v>85.667962380000006</v>
      </c>
      <c r="O197" s="2">
        <f>IFERROR(ROUND(N197,0),"null")</f>
        <v>86</v>
      </c>
      <c r="P197" s="2" t="str">
        <f>IF(AND(A197=A198,O197=100,O198=100),"full access"," ")</f>
        <v xml:space="preserve"> </v>
      </c>
      <c r="Q197" s="2" t="str">
        <f>IFERROR(IF(A198=A197,((N197-N198)/(C197-C198)),""),"null")</f>
        <v/>
      </c>
      <c r="R197" s="2">
        <v>1.1780912299999999</v>
      </c>
      <c r="S197" s="2">
        <v>10.61491462</v>
      </c>
      <c r="T197" s="2">
        <v>2.539031772</v>
      </c>
      <c r="U197" s="2">
        <v>97.580512069999997</v>
      </c>
      <c r="V197" s="2">
        <f>IFERROR(ROUND(U197,0),"null")</f>
        <v>98</v>
      </c>
      <c r="W197" s="2" t="str">
        <f>IF(AND(A197=A198,V197=100,V198=100),"full access","")</f>
        <v/>
      </c>
      <c r="X197" s="2" t="str">
        <f>IFERROR(IF(A198=A197,((U197-U198)/(C197-C198)),""),"null")</f>
        <v/>
      </c>
      <c r="Y197" s="2">
        <v>0.60850983449999996</v>
      </c>
      <c r="Z197" s="2">
        <v>1.679615139</v>
      </c>
      <c r="AA197" s="2">
        <v>0.13136295880000001</v>
      </c>
      <c r="AB197" s="2" t="str">
        <f>IFERROR(IF(A198=A197, Q197-X197, ""), "null")</f>
        <v/>
      </c>
    </row>
    <row r="198" spans="1:28">
      <c r="A198" s="2" t="s">
        <v>146</v>
      </c>
      <c r="B198" s="2" t="str">
        <f>VLOOKUP(A198,Regions!A:B,2,0)</f>
        <v>South Asia</v>
      </c>
      <c r="C198" s="2">
        <v>2015</v>
      </c>
      <c r="D198" s="2">
        <f>IF(A199=A198,ABS(C199-C198),"")</f>
        <v>5</v>
      </c>
      <c r="E198" s="2">
        <f>IFERROR(IF(A199=A198,((H198-H199)/(C198-C199)), ""), "null")</f>
        <v>0.13512985000000127</v>
      </c>
      <c r="F198" s="2">
        <v>78492.210940000004</v>
      </c>
      <c r="G198" s="2">
        <v>73.358001709999996</v>
      </c>
      <c r="H198" s="2">
        <v>96.806987079999999</v>
      </c>
      <c r="I198" s="2">
        <f>IFERROR(ROUND(H198,0),"null")</f>
        <v>97</v>
      </c>
      <c r="J198" s="2" t="str">
        <f>IF(AND(A199=A198,I198=100,I199=100),"full access", " ")</f>
        <v xml:space="preserve"> </v>
      </c>
      <c r="K198" s="2">
        <v>1.9948915730000001</v>
      </c>
      <c r="L198" s="2">
        <v>1.126061081</v>
      </c>
      <c r="M198" s="2">
        <v>7.2060265609999993E-2</v>
      </c>
      <c r="N198" s="2">
        <v>92.162502649999993</v>
      </c>
      <c r="O198" s="2">
        <f>IFERROR(ROUND(N198,0),"null")</f>
        <v>92</v>
      </c>
      <c r="P198" s="2" t="str">
        <f>IF(AND(A198=A199,O198=100,O199=100),"full access"," ")</f>
        <v xml:space="preserve"> </v>
      </c>
      <c r="Q198" s="2">
        <f>IFERROR(IF(A199=A198,((N198-N199)/(C198-C199)),""),"null")</f>
        <v>0.33324654600000087</v>
      </c>
      <c r="R198" s="2">
        <v>4.221624781</v>
      </c>
      <c r="S198" s="2">
        <v>3.3453963830000002</v>
      </c>
      <c r="T198" s="2">
        <v>0.27047619049999999</v>
      </c>
      <c r="U198" s="2">
        <v>98.493760870000003</v>
      </c>
      <c r="V198" s="2">
        <f>IFERROR(ROUND(U198,0),"null")</f>
        <v>98</v>
      </c>
      <c r="W198" s="2" t="str">
        <f>IF(AND(A198=A199,V198=100,V199=100),"full access","")</f>
        <v/>
      </c>
      <c r="X198" s="2">
        <f>IFERROR(IF(A199=A198,((U198-U199)/(C198-C199)),""),"null")</f>
        <v>3.014517000000012E-2</v>
      </c>
      <c r="Y198" s="2">
        <v>1.186191432</v>
      </c>
      <c r="Z198" s="2">
        <v>0.3200476961</v>
      </c>
      <c r="AA198" s="2">
        <v>0</v>
      </c>
      <c r="AB198" s="2">
        <f>IFERROR(IF(A199=A198, Q198-X198, ""), "null")</f>
        <v>0.30310137600000076</v>
      </c>
    </row>
    <row r="199" spans="1:28">
      <c r="A199" s="2" t="s">
        <v>146</v>
      </c>
      <c r="B199" s="2" t="str">
        <f>VLOOKUP(A199,Regions!A:B,2,0)</f>
        <v>South Asia</v>
      </c>
      <c r="C199" s="2">
        <v>2020</v>
      </c>
      <c r="D199" s="2" t="str">
        <f>IF(A200=A199,ABS(C200-C199),"")</f>
        <v/>
      </c>
      <c r="E199" s="2" t="str">
        <f>IFERROR(IF(A200=A199,((H199-H200)/(C199-C200)), ""), "null")</f>
        <v/>
      </c>
      <c r="F199" s="2">
        <v>83992.953129999994</v>
      </c>
      <c r="G199" s="2">
        <v>75.874000550000005</v>
      </c>
      <c r="H199" s="2">
        <v>97.482636330000005</v>
      </c>
      <c r="I199" s="2">
        <f>IFERROR(ROUND(H199,0),"null")</f>
        <v>97</v>
      </c>
      <c r="J199" s="2" t="str">
        <f>IF(AND(A200=A199,I199=100,I200=100),"full access", " ")</f>
        <v xml:space="preserve"> </v>
      </c>
      <c r="K199" s="2">
        <v>1.938311229</v>
      </c>
      <c r="L199" s="2">
        <v>0.51379736310000002</v>
      </c>
      <c r="M199" s="2">
        <v>6.5255081849999994E-2</v>
      </c>
      <c r="N199" s="2">
        <v>93.828735379999998</v>
      </c>
      <c r="O199" s="2">
        <f>IFERROR(ROUND(N199,0),"null")</f>
        <v>94</v>
      </c>
      <c r="P199" s="2" t="str">
        <f>IF(AND(A199=A200,O199=100,O200=100),"full access"," ")</f>
        <v xml:space="preserve"> </v>
      </c>
      <c r="Q199" s="2" t="str">
        <f>IFERROR(IF(A200=A199,((N199-N200)/(C199-C200)),""),"null")</f>
        <v/>
      </c>
      <c r="R199" s="2">
        <v>4.2979487650000001</v>
      </c>
      <c r="S199" s="2">
        <v>1.602839669</v>
      </c>
      <c r="T199" s="2">
        <v>0.27047619049999999</v>
      </c>
      <c r="U199" s="2">
        <v>98.644486720000003</v>
      </c>
      <c r="V199" s="2">
        <f>IFERROR(ROUND(U199,0),"null")</f>
        <v>99</v>
      </c>
      <c r="W199" s="2" t="str">
        <f>IF(AND(A199=A200,V199=100,V200=100),"full access","")</f>
        <v/>
      </c>
      <c r="X199" s="2" t="str">
        <f>IFERROR(IF(A200=A199,((U199-U200)/(C199-C200)),""),"null")</f>
        <v/>
      </c>
      <c r="Y199" s="2">
        <v>1.1880066709999999</v>
      </c>
      <c r="Z199" s="2">
        <v>0.1675066077</v>
      </c>
      <c r="AA199" s="2">
        <v>0</v>
      </c>
      <c r="AB199" s="2" t="str">
        <f>IFERROR(IF(A200=A199, Q199-X199, ""), "null")</f>
        <v/>
      </c>
    </row>
    <row r="200" spans="1:28">
      <c r="A200" s="2" t="s">
        <v>149</v>
      </c>
      <c r="B200" s="2" t="str">
        <f>VLOOKUP(A200,Regions!A:B,2,0)</f>
        <v>Middle East &amp; North Africa</v>
      </c>
      <c r="C200" s="2">
        <v>2015</v>
      </c>
      <c r="D200" s="2">
        <f>IF(A201=A200,ABS(C201-C200),"")</f>
        <v>5</v>
      </c>
      <c r="E200" s="2">
        <f>IFERROR(IF(A201=A200,((H200-H201)/(C200-C201)), ""), "null")</f>
        <v>0.82246198999999931</v>
      </c>
      <c r="F200" s="2">
        <v>35572.269529999998</v>
      </c>
      <c r="G200" s="2">
        <v>69.920997619999994</v>
      </c>
      <c r="H200" s="2">
        <v>94.247593300000005</v>
      </c>
      <c r="I200" s="2">
        <f>IFERROR(ROUND(H200,0),"null")</f>
        <v>94</v>
      </c>
      <c r="J200" s="2" t="str">
        <f>IF(AND(A201=A200,I200=100,I201=100),"full access", " ")</f>
        <v xml:space="preserve"> </v>
      </c>
      <c r="K200" s="2">
        <v>1.056676215</v>
      </c>
      <c r="L200" s="2">
        <v>1.7379110360000001</v>
      </c>
      <c r="M200" s="2">
        <v>2.9578194500000001</v>
      </c>
      <c r="N200" s="2">
        <v>84.76271011</v>
      </c>
      <c r="O200" s="2">
        <f>IFERROR(ROUND(N200,0),"null")</f>
        <v>85</v>
      </c>
      <c r="P200" s="2" t="str">
        <f>IF(AND(A200=A201,O200=100,O201=100),"full access"," ")</f>
        <v xml:space="preserve"> </v>
      </c>
      <c r="Q200" s="2">
        <f>IFERROR(IF(A201=A200,((N200-N201)/(C200-C201)),""),"null")</f>
        <v>2.0136873339999992</v>
      </c>
      <c r="R200" s="2">
        <v>2.8306169350000001</v>
      </c>
      <c r="S200" s="2">
        <v>2.77640479</v>
      </c>
      <c r="T200" s="2">
        <v>9.630268161</v>
      </c>
      <c r="U200" s="2">
        <v>98.3278526</v>
      </c>
      <c r="V200" s="2">
        <f>IFERROR(ROUND(U200,0),"null")</f>
        <v>98</v>
      </c>
      <c r="W200" s="2" t="str">
        <f>IF(AND(A200=A201,V200=100,V201=100),"full access","")</f>
        <v/>
      </c>
      <c r="X200" s="2">
        <f>IFERROR(IF(A201=A200,((U200-U201)/(C200-C201)),""),"null")</f>
        <v>0.29617568600000083</v>
      </c>
      <c r="Y200" s="2">
        <v>0.29355262310000002</v>
      </c>
      <c r="Z200" s="2">
        <v>1.2911660709999999</v>
      </c>
      <c r="AA200" s="2">
        <v>8.74287017E-2</v>
      </c>
      <c r="AB200" s="2">
        <f>IFERROR(IF(A201=A200, Q200-X200, ""), "null")</f>
        <v>1.7175116479999983</v>
      </c>
    </row>
    <row r="201" spans="1:28">
      <c r="A201" s="2" t="s">
        <v>149</v>
      </c>
      <c r="B201" s="2" t="str">
        <f>VLOOKUP(A201,Regions!A:B,2,0)</f>
        <v>Middle East &amp; North Africa</v>
      </c>
      <c r="C201" s="2">
        <v>2020</v>
      </c>
      <c r="D201" s="2" t="str">
        <f>IF(A202=A201,ABS(C202-C201),"")</f>
        <v/>
      </c>
      <c r="E201" s="2" t="str">
        <f>IFERROR(IF(A202=A201,((H201-H202)/(C201-C202)), ""), "null")</f>
        <v/>
      </c>
      <c r="F201" s="2">
        <v>40222.503909999999</v>
      </c>
      <c r="G201" s="2">
        <v>70.892997739999998</v>
      </c>
      <c r="H201" s="2">
        <v>98.359903250000002</v>
      </c>
      <c r="I201" s="2">
        <f>IFERROR(ROUND(H201,0),"null")</f>
        <v>98</v>
      </c>
      <c r="J201" s="2" t="str">
        <f>IF(AND(A202=A201,I201=100,I202=100),"full access", " ")</f>
        <v xml:space="preserve"> </v>
      </c>
      <c r="K201" s="2">
        <v>0.89216034950000001</v>
      </c>
      <c r="L201" s="2">
        <v>2.427900808E-6</v>
      </c>
      <c r="M201" s="2">
        <v>0.74793397129999994</v>
      </c>
      <c r="N201" s="2">
        <v>94.831146779999997</v>
      </c>
      <c r="O201" s="2">
        <f>IFERROR(ROUND(N201,0),"null")</f>
        <v>95</v>
      </c>
      <c r="P201" s="2" t="str">
        <f>IF(AND(A201=A202,O201=100,O202=100),"full access"," ")</f>
        <v xml:space="preserve"> </v>
      </c>
      <c r="Q201" s="2" t="str">
        <f>IFERROR(IF(A202=A201,((N201-N202)/(C201-C202)),""),"null")</f>
        <v/>
      </c>
      <c r="R201" s="2">
        <v>2.5992513389999998</v>
      </c>
      <c r="S201" s="2">
        <v>0</v>
      </c>
      <c r="T201" s="2">
        <v>2.5696018770000002</v>
      </c>
      <c r="U201" s="2">
        <v>99.808731030000004</v>
      </c>
      <c r="V201" s="2">
        <f>IFERROR(ROUND(U201,0),"null")</f>
        <v>100</v>
      </c>
      <c r="W201" s="2" t="str">
        <f>IF(AND(A201=A202,V201=100,V202=100),"full access","")</f>
        <v/>
      </c>
      <c r="X201" s="2" t="str">
        <f>IFERROR(IF(A202=A201,((U201-U202)/(C201-C202)),""),"null")</f>
        <v/>
      </c>
      <c r="Y201" s="2">
        <v>0.19126897000000001</v>
      </c>
      <c r="Z201" s="2">
        <v>0</v>
      </c>
      <c r="AA201" s="2">
        <v>0</v>
      </c>
      <c r="AB201" s="2" t="str">
        <f>IFERROR(IF(A202=A201, Q201-X201, ""), "null")</f>
        <v/>
      </c>
    </row>
    <row r="202" spans="1:28">
      <c r="A202" s="2" t="s">
        <v>151</v>
      </c>
      <c r="B202" s="2" t="str">
        <f>VLOOKUP(A202,Regions!A:B,2,0)</f>
        <v>Europe &amp; Central Asia</v>
      </c>
      <c r="C202" s="2">
        <v>2015</v>
      </c>
      <c r="D202" s="2">
        <f>IF(A203=A202,ABS(C203-C202),"")</f>
        <v>5</v>
      </c>
      <c r="E202" s="2">
        <f>IFERROR(IF(A203=A202,((H202-H203)/(C202-C203)), ""), "null")</f>
        <v>5.5157040000011646E-3</v>
      </c>
      <c r="F202" s="2">
        <v>4652.419922</v>
      </c>
      <c r="G202" s="2">
        <v>62.537998199999997</v>
      </c>
      <c r="H202" s="2">
        <v>97.372127989999996</v>
      </c>
      <c r="I202" s="2">
        <f>IFERROR(ROUND(H202,0),"null")</f>
        <v>97</v>
      </c>
      <c r="J202" s="2" t="str">
        <f>IF(AND(A203=A202,I202=100,I203=100),"full access", " ")</f>
        <v xml:space="preserve"> </v>
      </c>
      <c r="K202" s="2">
        <v>0</v>
      </c>
      <c r="L202" s="2">
        <v>2.6278720080000002</v>
      </c>
      <c r="M202" s="2">
        <v>0</v>
      </c>
      <c r="N202" s="2">
        <v>98.01681619</v>
      </c>
      <c r="O202" s="2">
        <f>IFERROR(ROUND(N202,0),"null")</f>
        <v>98</v>
      </c>
      <c r="P202" s="2" t="str">
        <f>IF(AND(A202=A203,O202=100,O203=100),"full access"," ")</f>
        <v xml:space="preserve"> </v>
      </c>
      <c r="Q202" s="2">
        <f>IFERROR(IF(A203=A202,((N202-N203)/(C202-C203)),""),"null")</f>
        <v>2.3620912000001226E-2</v>
      </c>
      <c r="R202" s="2">
        <v>0</v>
      </c>
      <c r="S202" s="2">
        <v>1.983183812</v>
      </c>
      <c r="T202" s="2">
        <v>0</v>
      </c>
      <c r="U202" s="2">
        <v>96.98594181</v>
      </c>
      <c r="V202" s="2">
        <f>IFERROR(ROUND(U202,0),"null")</f>
        <v>97</v>
      </c>
      <c r="W202" s="2" t="str">
        <f>IF(AND(A202=A203,V202=100,V203=100),"full access","")</f>
        <v/>
      </c>
      <c r="X202" s="2">
        <f>IFERROR(IF(A203=A202,((U202-U203)/(C202-C203)),""),"null")</f>
        <v>-1.2111559999993915E-3</v>
      </c>
      <c r="Y202" s="2">
        <v>0</v>
      </c>
      <c r="Z202" s="2">
        <v>3.014058189</v>
      </c>
      <c r="AA202" s="2">
        <v>0</v>
      </c>
      <c r="AB202" s="2">
        <f>IFERROR(IF(A203=A202, Q202-X202, ""), "null")</f>
        <v>2.4832068000000616E-2</v>
      </c>
    </row>
    <row r="203" spans="1:28">
      <c r="A203" s="2" t="s">
        <v>151</v>
      </c>
      <c r="B203" s="2" t="str">
        <f>VLOOKUP(A203,Regions!A:B,2,0)</f>
        <v>Europe &amp; Central Asia</v>
      </c>
      <c r="C203" s="2">
        <v>2020</v>
      </c>
      <c r="D203" s="2" t="str">
        <f>IF(A204=A203,ABS(C204-C203),"")</f>
        <v/>
      </c>
      <c r="E203" s="2" t="str">
        <f>IFERROR(IF(A204=A203,((H203-H204)/(C203-C204)), ""), "null")</f>
        <v/>
      </c>
      <c r="F203" s="2">
        <v>4937.7958980000003</v>
      </c>
      <c r="G203" s="2">
        <v>63.652999880000003</v>
      </c>
      <c r="H203" s="2">
        <v>97.399706510000001</v>
      </c>
      <c r="I203" s="2">
        <f>IFERROR(ROUND(H203,0),"null")</f>
        <v>97</v>
      </c>
      <c r="J203" s="2" t="str">
        <f>IF(AND(A204=A203,I203=100,I204=100),"full access", " ")</f>
        <v xml:space="preserve"> </v>
      </c>
      <c r="K203" s="2">
        <v>0</v>
      </c>
      <c r="L203" s="2">
        <v>2.6002934849999999</v>
      </c>
      <c r="M203" s="2">
        <v>0</v>
      </c>
      <c r="N203" s="2">
        <v>98.134920750000006</v>
      </c>
      <c r="O203" s="2">
        <f>IFERROR(ROUND(N203,0),"null")</f>
        <v>98</v>
      </c>
      <c r="P203" s="2" t="str">
        <f>IF(AND(A203=A204,O203=100,O204=100),"full access"," ")</f>
        <v xml:space="preserve"> </v>
      </c>
      <c r="Q203" s="2" t="str">
        <f>IFERROR(IF(A204=A203,((N203-N204)/(C203-C204)),""),"null")</f>
        <v/>
      </c>
      <c r="R203" s="2">
        <v>0</v>
      </c>
      <c r="S203" s="2">
        <v>1.8650792469999999</v>
      </c>
      <c r="T203" s="2">
        <v>0</v>
      </c>
      <c r="U203" s="2">
        <v>96.979886030000003</v>
      </c>
      <c r="V203" s="2">
        <f>IFERROR(ROUND(U203,0),"null")</f>
        <v>97</v>
      </c>
      <c r="W203" s="2" t="str">
        <f>IF(AND(A203=A204,V203=100,V204=100),"full access","")</f>
        <v/>
      </c>
      <c r="X203" s="2" t="str">
        <f>IFERROR(IF(A204=A203,((U203-U204)/(C203-C204)),""),"null")</f>
        <v/>
      </c>
      <c r="Y203" s="2">
        <v>0</v>
      </c>
      <c r="Z203" s="2">
        <v>3.0201139659999998</v>
      </c>
      <c r="AA203" s="2">
        <v>0</v>
      </c>
      <c r="AB203" s="2" t="str">
        <f>IFERROR(IF(A204=A203, Q203-X203, ""), "null")</f>
        <v/>
      </c>
    </row>
    <row r="204" spans="1:28">
      <c r="A204" s="2" t="s">
        <v>152</v>
      </c>
      <c r="B204" s="2" t="str">
        <f>VLOOKUP(A204,Regions!A:B,2,0)</f>
        <v>Europe &amp; Central Asia</v>
      </c>
      <c r="C204" s="2">
        <v>2015</v>
      </c>
      <c r="D204" s="2">
        <f>IF(A205=A204,ABS(C205-C204),"")</f>
        <v>5</v>
      </c>
      <c r="E204" s="2">
        <f>IFERROR(IF(A205=A204,((H204-H205)/(C204-C205)), ""), "null")</f>
        <v>0</v>
      </c>
      <c r="F204" s="2">
        <v>83.232002260000002</v>
      </c>
      <c r="G204" s="2">
        <v>52.244998930000001</v>
      </c>
      <c r="H204" s="2">
        <v>99.075000000000003</v>
      </c>
      <c r="I204" s="2">
        <f>IFERROR(ROUND(H204,0),"null")</f>
        <v>99</v>
      </c>
      <c r="J204" s="2" t="str">
        <f>IF(AND(A205=A204,I204=100,I205=100),"full access", " ")</f>
        <v xml:space="preserve"> </v>
      </c>
      <c r="K204" s="2">
        <v>0</v>
      </c>
      <c r="L204" s="2">
        <v>0.92500000000000004</v>
      </c>
      <c r="M204" s="2">
        <v>0</v>
      </c>
      <c r="N204" s="2" t="s">
        <v>45</v>
      </c>
      <c r="O204" s="2" t="str">
        <f>IFERROR(ROUND(N204,0),"null")</f>
        <v>null</v>
      </c>
      <c r="P204" s="2" t="str">
        <f>IF(AND(A204=A205,O204=100,O205=100),"full access"," ")</f>
        <v xml:space="preserve"> </v>
      </c>
      <c r="Q204" s="2" t="str">
        <f>IFERROR(IF(A205=A204,((N204-N205)/(C204-C205)),""),"null")</f>
        <v>null</v>
      </c>
      <c r="R204" s="2" t="s">
        <v>45</v>
      </c>
      <c r="S204" s="2" t="s">
        <v>45</v>
      </c>
      <c r="T204" s="2" t="s">
        <v>45</v>
      </c>
      <c r="U204" s="2" t="s">
        <v>45</v>
      </c>
      <c r="V204" s="2" t="str">
        <f>IFERROR(ROUND(U204,0),"null")</f>
        <v>null</v>
      </c>
      <c r="W204" s="2" t="str">
        <f>IF(AND(A204=A205,V204=100,V205=100),"full access","")</f>
        <v/>
      </c>
      <c r="X204" s="2" t="str">
        <f>IFERROR(IF(A205=A204,((U204-U205)/(C204-C205)),""),"null")</f>
        <v>null</v>
      </c>
      <c r="Y204" s="2" t="s">
        <v>45</v>
      </c>
      <c r="Z204" s="2" t="s">
        <v>45</v>
      </c>
      <c r="AA204" s="2" t="s">
        <v>45</v>
      </c>
      <c r="AB204" s="2" t="str">
        <f>IFERROR(IF(A205=A204, Q204-X204, ""), "null")</f>
        <v>null</v>
      </c>
    </row>
    <row r="205" spans="1:28">
      <c r="A205" s="2" t="s">
        <v>152</v>
      </c>
      <c r="B205" s="2" t="str">
        <f>VLOOKUP(A205,Regions!A:B,2,0)</f>
        <v>Europe &amp; Central Asia</v>
      </c>
      <c r="C205" s="2">
        <v>2020</v>
      </c>
      <c r="D205" s="2" t="str">
        <f>IF(A206=A205,ABS(C206-C205),"")</f>
        <v/>
      </c>
      <c r="E205" s="2" t="str">
        <f>IFERROR(IF(A206=A205,((H205-H206)/(C205-C206)), ""), "null")</f>
        <v/>
      </c>
      <c r="F205" s="2">
        <v>85.031997680000003</v>
      </c>
      <c r="G205" s="2">
        <v>52.89800262</v>
      </c>
      <c r="H205" s="2">
        <v>99.075000000000003</v>
      </c>
      <c r="I205" s="2">
        <f>IFERROR(ROUND(H205,0),"null")</f>
        <v>99</v>
      </c>
      <c r="J205" s="2" t="str">
        <f>IF(AND(A206=A205,I205=100,I206=100),"full access", " ")</f>
        <v xml:space="preserve"> </v>
      </c>
      <c r="K205" s="2">
        <v>0</v>
      </c>
      <c r="L205" s="2">
        <v>0.92500000000000004</v>
      </c>
      <c r="M205" s="2">
        <v>0</v>
      </c>
      <c r="N205" s="2" t="s">
        <v>45</v>
      </c>
      <c r="O205" s="2" t="str">
        <f>IFERROR(ROUND(N205,0),"null")</f>
        <v>null</v>
      </c>
      <c r="P205" s="2" t="str">
        <f>IF(AND(A205=A206,O205=100,O206=100),"full access"," ")</f>
        <v xml:space="preserve"> </v>
      </c>
      <c r="Q205" s="2" t="str">
        <f>IFERROR(IF(A206=A205,((N205-N206)/(C205-C206)),""),"null")</f>
        <v/>
      </c>
      <c r="R205" s="2" t="s">
        <v>45</v>
      </c>
      <c r="S205" s="2" t="s">
        <v>45</v>
      </c>
      <c r="T205" s="2" t="s">
        <v>45</v>
      </c>
      <c r="U205" s="2" t="s">
        <v>45</v>
      </c>
      <c r="V205" s="2" t="str">
        <f>IFERROR(ROUND(U205,0),"null")</f>
        <v>null</v>
      </c>
      <c r="W205" s="2" t="str">
        <f>IF(AND(A205=A206,V205=100,V206=100),"full access","")</f>
        <v/>
      </c>
      <c r="X205" s="2" t="str">
        <f>IFERROR(IF(A206=A205,((U205-U206)/(C205-C206)),""),"null")</f>
        <v/>
      </c>
      <c r="Y205" s="2" t="s">
        <v>45</v>
      </c>
      <c r="Z205" s="2" t="s">
        <v>45</v>
      </c>
      <c r="AA205" s="2" t="s">
        <v>45</v>
      </c>
      <c r="AB205" s="2" t="str">
        <f>IFERROR(IF(A206=A205, Q205-X205, ""), "null")</f>
        <v/>
      </c>
    </row>
    <row r="206" spans="1:28">
      <c r="A206" s="2" t="s">
        <v>153</v>
      </c>
      <c r="B206" s="2" t="str">
        <f>VLOOKUP(A206,Regions!A:B,2,0)</f>
        <v>Europe &amp; Central Asia</v>
      </c>
      <c r="C206" s="2">
        <v>2015</v>
      </c>
      <c r="D206" s="2">
        <f>IF(A207=A206,ABS(C207-C206),"")</f>
        <v>5</v>
      </c>
      <c r="E206" s="2">
        <f>IFERROR(IF(A207=A206,((H206-H207)/(C206-C207)), ""), "null")</f>
        <v>-2.999999992425728E-7</v>
      </c>
      <c r="F206" s="2">
        <v>7978.4960940000001</v>
      </c>
      <c r="G206" s="2">
        <v>92.179000849999994</v>
      </c>
      <c r="H206" s="2">
        <v>100.0000015</v>
      </c>
      <c r="I206" s="2">
        <f>IFERROR(ROUND(H206,0),"null")</f>
        <v>100</v>
      </c>
      <c r="J206" s="2" t="str">
        <f>IF(AND(A207=A206,I206=100,I207=100),"full access", " ")</f>
        <v>full access</v>
      </c>
      <c r="K206" s="2">
        <v>0</v>
      </c>
      <c r="L206" s="2">
        <v>0</v>
      </c>
      <c r="M206" s="2">
        <v>0</v>
      </c>
      <c r="N206" s="2">
        <v>100</v>
      </c>
      <c r="O206" s="2">
        <f>IFERROR(ROUND(N206,0),"null")</f>
        <v>100</v>
      </c>
      <c r="P206" s="2" t="str">
        <f>IF(AND(A206=A207,O206=100,O207=100),"full access"," ")</f>
        <v>full access</v>
      </c>
      <c r="Q206" s="2">
        <f>IFERROR(IF(A207=A206,((N206-N207)/(C206-C207)),""),"null")</f>
        <v>0</v>
      </c>
      <c r="R206" s="2">
        <v>0</v>
      </c>
      <c r="S206" s="2">
        <v>0</v>
      </c>
      <c r="T206" s="2">
        <v>0</v>
      </c>
      <c r="U206" s="2">
        <v>100</v>
      </c>
      <c r="V206" s="2">
        <f>IFERROR(ROUND(U206,0),"null")</f>
        <v>100</v>
      </c>
      <c r="W206" s="2" t="str">
        <f>IF(AND(A206=A207,V206=100,V207=100),"full access","")</f>
        <v>full access</v>
      </c>
      <c r="X206" s="2">
        <f>IFERROR(IF(A207=A206,((U206-U207)/(C206-C207)),""),"null")</f>
        <v>0</v>
      </c>
      <c r="Y206" s="2">
        <v>0</v>
      </c>
      <c r="Z206" s="2">
        <v>0</v>
      </c>
      <c r="AA206" s="2">
        <v>0</v>
      </c>
      <c r="AB206" s="2">
        <f>IFERROR(IF(A207=A206, Q206-X206, ""), "null")</f>
        <v>0</v>
      </c>
    </row>
    <row r="207" spans="1:28">
      <c r="A207" s="2" t="s">
        <v>153</v>
      </c>
      <c r="B207" s="2" t="str">
        <f>VLOOKUP(A207,Regions!A:B,2,0)</f>
        <v>Europe &amp; Central Asia</v>
      </c>
      <c r="C207" s="2">
        <v>2020</v>
      </c>
      <c r="D207" s="2" t="str">
        <f>IF(A208=A207,ABS(C208-C207),"")</f>
        <v/>
      </c>
      <c r="E207" s="2" t="str">
        <f>IFERROR(IF(A208=A207,((H207-H208)/(C207-C208)), ""), "null")</f>
        <v/>
      </c>
      <c r="F207" s="2">
        <v>8655.5410159999992</v>
      </c>
      <c r="G207" s="2">
        <v>92.58699799</v>
      </c>
      <c r="H207" s="2">
        <v>100</v>
      </c>
      <c r="I207" s="2">
        <f>IFERROR(ROUND(H207,0),"null")</f>
        <v>100</v>
      </c>
      <c r="J207" s="2" t="str">
        <f>IF(AND(A208=A207,I207=100,I208=100),"full access", " ")</f>
        <v xml:space="preserve"> </v>
      </c>
      <c r="K207" s="2">
        <v>0</v>
      </c>
      <c r="L207" s="2">
        <v>0</v>
      </c>
      <c r="M207" s="2">
        <v>0</v>
      </c>
      <c r="N207" s="2">
        <v>100</v>
      </c>
      <c r="O207" s="2">
        <f>IFERROR(ROUND(N207,0),"null")</f>
        <v>100</v>
      </c>
      <c r="P207" s="2" t="str">
        <f>IF(AND(A207=A208,O207=100,O208=100),"full access"," ")</f>
        <v xml:space="preserve"> </v>
      </c>
      <c r="Q207" s="2" t="str">
        <f>IFERROR(IF(A208=A207,((N207-N208)/(C207-C208)),""),"null")</f>
        <v/>
      </c>
      <c r="R207" s="2">
        <v>0</v>
      </c>
      <c r="S207" s="2">
        <v>0</v>
      </c>
      <c r="T207" s="2">
        <v>0</v>
      </c>
      <c r="U207" s="2">
        <v>100</v>
      </c>
      <c r="V207" s="2">
        <f>IFERROR(ROUND(U207,0),"null")</f>
        <v>100</v>
      </c>
      <c r="W207" s="2" t="str">
        <f>IF(AND(A207=A208,V207=100,V208=100),"full access","")</f>
        <v/>
      </c>
      <c r="X207" s="2" t="str">
        <f>IFERROR(IF(A208=A207,((U207-U208)/(C207-C208)),""),"null")</f>
        <v/>
      </c>
      <c r="Y207" s="2">
        <v>0</v>
      </c>
      <c r="Z207" s="2">
        <v>0</v>
      </c>
      <c r="AA207" s="2">
        <v>0</v>
      </c>
      <c r="AB207" s="2" t="str">
        <f>IFERROR(IF(A208=A207, Q207-X207, ""), "null")</f>
        <v/>
      </c>
    </row>
    <row r="208" spans="1:28">
      <c r="A208" s="2" t="s">
        <v>154</v>
      </c>
      <c r="B208" s="2" t="str">
        <f>VLOOKUP(A208,Regions!A:B,2,0)</f>
        <v>Europe &amp; Central Asia</v>
      </c>
      <c r="C208" s="2">
        <v>2015</v>
      </c>
      <c r="D208" s="2">
        <f>IF(A209=A208,ABS(C209-C208),"")</f>
        <v>5</v>
      </c>
      <c r="E208" s="2">
        <f>IFERROR(IF(A209=A208,((H208-H209)/(C208-C209)), ""), "null")</f>
        <v>0</v>
      </c>
      <c r="F208" s="2">
        <v>60578.488279999998</v>
      </c>
      <c r="G208" s="2">
        <v>69.565002440000001</v>
      </c>
      <c r="H208" s="2">
        <v>99.91703407</v>
      </c>
      <c r="I208" s="2">
        <f>IFERROR(ROUND(H208,0),"null")</f>
        <v>100</v>
      </c>
      <c r="J208" s="2" t="str">
        <f>IF(AND(A209=A208,I208=100,I209=100),"full access", " ")</f>
        <v>full access</v>
      </c>
      <c r="K208" s="2">
        <v>0</v>
      </c>
      <c r="L208" s="2">
        <v>8.2965925910000002E-2</v>
      </c>
      <c r="M208" s="2">
        <v>0</v>
      </c>
      <c r="N208" s="2" t="s">
        <v>45</v>
      </c>
      <c r="O208" s="2" t="str">
        <f>IFERROR(ROUND(N208,0),"null")</f>
        <v>null</v>
      </c>
      <c r="P208" s="2" t="str">
        <f>IF(AND(A208=A209,O208=100,O209=100),"full access"," ")</f>
        <v xml:space="preserve"> </v>
      </c>
      <c r="Q208" s="2" t="str">
        <f>IFERROR(IF(A209=A208,((N208-N209)/(C208-C209)),""),"null")</f>
        <v>null</v>
      </c>
      <c r="R208" s="2" t="s">
        <v>45</v>
      </c>
      <c r="S208" s="2" t="s">
        <v>45</v>
      </c>
      <c r="T208" s="2" t="s">
        <v>45</v>
      </c>
      <c r="U208" s="2" t="s">
        <v>45</v>
      </c>
      <c r="V208" s="2" t="str">
        <f>IFERROR(ROUND(U208,0),"null")</f>
        <v>null</v>
      </c>
      <c r="W208" s="2" t="str">
        <f>IF(AND(A208=A209,V208=100,V209=100),"full access","")</f>
        <v/>
      </c>
      <c r="X208" s="2" t="str">
        <f>IFERROR(IF(A209=A208,((U208-U209)/(C208-C209)),""),"null")</f>
        <v>null</v>
      </c>
      <c r="Y208" s="2" t="s">
        <v>45</v>
      </c>
      <c r="Z208" s="2" t="s">
        <v>45</v>
      </c>
      <c r="AA208" s="2" t="s">
        <v>45</v>
      </c>
      <c r="AB208" s="2" t="str">
        <f>IFERROR(IF(A209=A208, Q208-X208, ""), "null")</f>
        <v>null</v>
      </c>
    </row>
    <row r="209" spans="1:28">
      <c r="A209" s="2" t="s">
        <v>154</v>
      </c>
      <c r="B209" s="2" t="str">
        <f>VLOOKUP(A209,Regions!A:B,2,0)</f>
        <v>Europe &amp; Central Asia</v>
      </c>
      <c r="C209" s="2">
        <v>2020</v>
      </c>
      <c r="D209" s="2" t="str">
        <f>IF(A210=A209,ABS(C210-C209),"")</f>
        <v/>
      </c>
      <c r="E209" s="2" t="str">
        <f>IFERROR(IF(A210=A209,((H209-H210)/(C209-C210)), ""), "null")</f>
        <v/>
      </c>
      <c r="F209" s="2">
        <v>60461.828130000002</v>
      </c>
      <c r="G209" s="2">
        <v>71.038993840000003</v>
      </c>
      <c r="H209" s="2">
        <v>99.91703407</v>
      </c>
      <c r="I209" s="2">
        <f>IFERROR(ROUND(H209,0),"null")</f>
        <v>100</v>
      </c>
      <c r="J209" s="2" t="str">
        <f>IF(AND(A210=A209,I209=100,I210=100),"full access", " ")</f>
        <v xml:space="preserve"> </v>
      </c>
      <c r="K209" s="2">
        <v>0</v>
      </c>
      <c r="L209" s="2">
        <v>8.2965925910000002E-2</v>
      </c>
      <c r="M209" s="2">
        <v>0</v>
      </c>
      <c r="N209" s="2" t="s">
        <v>45</v>
      </c>
      <c r="O209" s="2" t="str">
        <f>IFERROR(ROUND(N209,0),"null")</f>
        <v>null</v>
      </c>
      <c r="P209" s="2" t="str">
        <f>IF(AND(A209=A210,O209=100,O210=100),"full access"," ")</f>
        <v xml:space="preserve"> </v>
      </c>
      <c r="Q209" s="2" t="str">
        <f>IFERROR(IF(A210=A209,((N209-N210)/(C209-C210)),""),"null")</f>
        <v/>
      </c>
      <c r="R209" s="2" t="s">
        <v>45</v>
      </c>
      <c r="S209" s="2" t="s">
        <v>45</v>
      </c>
      <c r="T209" s="2" t="s">
        <v>45</v>
      </c>
      <c r="U209" s="2" t="s">
        <v>45</v>
      </c>
      <c r="V209" s="2" t="str">
        <f>IFERROR(ROUND(U209,0),"null")</f>
        <v>null</v>
      </c>
      <c r="W209" s="2" t="str">
        <f>IF(AND(A209=A210,V209=100,V210=100),"full access","")</f>
        <v/>
      </c>
      <c r="X209" s="2" t="str">
        <f>IFERROR(IF(A210=A209,((U209-U210)/(C209-C210)),""),"null")</f>
        <v/>
      </c>
      <c r="Y209" s="2" t="s">
        <v>45</v>
      </c>
      <c r="Z209" s="2" t="s">
        <v>45</v>
      </c>
      <c r="AA209" s="2" t="s">
        <v>45</v>
      </c>
      <c r="AB209" s="2" t="str">
        <f>IFERROR(IF(A210=A209, Q209-X209, ""), "null")</f>
        <v/>
      </c>
    </row>
    <row r="210" spans="1:28">
      <c r="A210" s="2" t="s">
        <v>156</v>
      </c>
      <c r="B210" s="2" t="str">
        <f>VLOOKUP(A210,Regions!A:B,2,0)</f>
        <v>Latin America &amp; Caribbean</v>
      </c>
      <c r="C210" s="2">
        <v>2015</v>
      </c>
      <c r="D210" s="2">
        <f>IF(A211=A210,ABS(C211-C210),"")</f>
        <v>5</v>
      </c>
      <c r="E210" s="2">
        <f>IFERROR(IF(A211=A210,((H210-H211)/(C210-C211)), ""), "null")</f>
        <v>0.12262964200000112</v>
      </c>
      <c r="F210" s="2">
        <v>2891.0239259999998</v>
      </c>
      <c r="G210" s="2">
        <v>54.833004000000003</v>
      </c>
      <c r="H210" s="2">
        <v>90.416796289999994</v>
      </c>
      <c r="I210" s="2">
        <f>IFERROR(ROUND(H210,0),"null")</f>
        <v>90</v>
      </c>
      <c r="J210" s="2" t="str">
        <f>IF(AND(A211=A210,I210=100,I211=100),"full access", " ")</f>
        <v xml:space="preserve"> </v>
      </c>
      <c r="K210" s="2">
        <v>5.4073366030000001</v>
      </c>
      <c r="L210" s="2">
        <v>2.169821217</v>
      </c>
      <c r="M210" s="2">
        <v>2.006045893</v>
      </c>
      <c r="N210" s="2">
        <v>84.500709900000004</v>
      </c>
      <c r="O210" s="2">
        <f>IFERROR(ROUND(N210,0),"null")</f>
        <v>85</v>
      </c>
      <c r="P210" s="2" t="str">
        <f>IF(AND(A210=A211,O210=100,O211=100),"full access"," ")</f>
        <v xml:space="preserve"> </v>
      </c>
      <c r="Q210" s="2">
        <f>IFERROR(IF(A211=A210,((N210-N211)/(C210-C211)),""),"null")</f>
        <v>0.17984045199999912</v>
      </c>
      <c r="R210" s="2">
        <v>8.4013357529999997</v>
      </c>
      <c r="S210" s="2">
        <v>3.055395678</v>
      </c>
      <c r="T210" s="2">
        <v>4.0425586710000001</v>
      </c>
      <c r="U210" s="2">
        <v>95.289990239999995</v>
      </c>
      <c r="V210" s="2">
        <f>IFERROR(ROUND(U210,0),"null")</f>
        <v>95</v>
      </c>
      <c r="W210" s="2" t="str">
        <f>IF(AND(A210=A211,V210=100,V211=100),"full access","")</f>
        <v/>
      </c>
      <c r="X210" s="2">
        <f>IFERROR(IF(A211=A210,((U210-U211)/(C210-C211)),""),"null")</f>
        <v>2.1605134000000702E-2</v>
      </c>
      <c r="Y210" s="2">
        <v>2.9411220149999999</v>
      </c>
      <c r="Z210" s="2">
        <v>1.440356529</v>
      </c>
      <c r="AA210" s="2">
        <v>0.32853121530000001</v>
      </c>
      <c r="AB210" s="2">
        <f>IFERROR(IF(A211=A210, Q210-X210, ""), "null")</f>
        <v>0.15823531799999843</v>
      </c>
    </row>
    <row r="211" spans="1:28">
      <c r="A211" s="2" t="s">
        <v>156</v>
      </c>
      <c r="B211" s="2" t="str">
        <f>VLOOKUP(A211,Regions!A:B,2,0)</f>
        <v>Latin America &amp; Caribbean</v>
      </c>
      <c r="C211" s="2">
        <v>2020</v>
      </c>
      <c r="D211" s="2" t="str">
        <f>IF(A212=A211,ABS(C212-C211),"")</f>
        <v/>
      </c>
      <c r="E211" s="2" t="str">
        <f>IFERROR(IF(A212=A211,((H211-H212)/(C211-C212)), ""), "null")</f>
        <v/>
      </c>
      <c r="F211" s="2">
        <v>2961.1608890000002</v>
      </c>
      <c r="G211" s="2">
        <v>56.311000819999997</v>
      </c>
      <c r="H211" s="2">
        <v>91.029944499999999</v>
      </c>
      <c r="I211" s="2">
        <f>IFERROR(ROUND(H211,0),"null")</f>
        <v>91</v>
      </c>
      <c r="J211" s="2" t="str">
        <f>IF(AND(A212=A211,I211=100,I212=100),"full access", " ")</f>
        <v xml:space="preserve"> </v>
      </c>
      <c r="K211" s="2">
        <v>5.3675709139999999</v>
      </c>
      <c r="L211" s="2">
        <v>1.8640102030000001</v>
      </c>
      <c r="M211" s="2">
        <v>1.7384743789999999</v>
      </c>
      <c r="N211" s="2">
        <v>85.39991216</v>
      </c>
      <c r="O211" s="2">
        <f>IFERROR(ROUND(N211,0),"null")</f>
        <v>85</v>
      </c>
      <c r="P211" s="2" t="str">
        <f>IF(AND(A211=A212,O211=100,O212=100),"full access"," ")</f>
        <v xml:space="preserve"> </v>
      </c>
      <c r="Q211" s="2" t="str">
        <f>IFERROR(IF(A212=A211,((N211-N212)/(C211-C212)),""),"null")</f>
        <v/>
      </c>
      <c r="R211" s="2">
        <v>8.4907373709999998</v>
      </c>
      <c r="S211" s="2">
        <v>2.5689718949999998</v>
      </c>
      <c r="T211" s="2">
        <v>3.540378574</v>
      </c>
      <c r="U211" s="2">
        <v>95.398015909999998</v>
      </c>
      <c r="V211" s="2">
        <f>IFERROR(ROUND(U211,0),"null")</f>
        <v>95</v>
      </c>
      <c r="W211" s="2" t="str">
        <f>IF(AND(A211=A212,V211=100,V212=100),"full access","")</f>
        <v/>
      </c>
      <c r="X211" s="2" t="str">
        <f>IFERROR(IF(A212=A211,((U211-U212)/(C211-C212)),""),"null")</f>
        <v/>
      </c>
      <c r="Y211" s="2">
        <v>2.944456223</v>
      </c>
      <c r="Z211" s="2">
        <v>1.317064322</v>
      </c>
      <c r="AA211" s="2">
        <v>0.34046355</v>
      </c>
      <c r="AB211" s="2" t="str">
        <f>IFERROR(IF(A212=A211, Q211-X211, ""), "null")</f>
        <v/>
      </c>
    </row>
    <row r="212" spans="1:28">
      <c r="A212" s="2" t="s">
        <v>157</v>
      </c>
      <c r="B212" s="2" t="str">
        <f>VLOOKUP(A212,Regions!A:B,2,0)</f>
        <v>East Asia &amp; Pacific</v>
      </c>
      <c r="C212" s="2">
        <v>2015</v>
      </c>
      <c r="D212" s="2">
        <f>IF(A213=A212,ABS(C213-C212),"")</f>
        <v>5</v>
      </c>
      <c r="E212" s="2">
        <f>IFERROR(IF(A213=A212,((H212-H213)/(C212-C213)), ""), "null")</f>
        <v>3.1221394000002078E-2</v>
      </c>
      <c r="F212" s="2">
        <v>127985.1406</v>
      </c>
      <c r="G212" s="2">
        <v>91.380996699999997</v>
      </c>
      <c r="H212" s="2">
        <v>98.922805479999994</v>
      </c>
      <c r="I212" s="2">
        <f>IFERROR(ROUND(H212,0),"null")</f>
        <v>99</v>
      </c>
      <c r="J212" s="2" t="str">
        <f>IF(AND(A213=A212,I212=100,I213=100),"full access", " ")</f>
        <v xml:space="preserve"> </v>
      </c>
      <c r="K212" s="2">
        <v>0</v>
      </c>
      <c r="L212" s="2">
        <v>1.0771945169999999</v>
      </c>
      <c r="M212" s="2">
        <v>0</v>
      </c>
      <c r="N212" s="2" t="s">
        <v>45</v>
      </c>
      <c r="O212" s="2" t="str">
        <f>IFERROR(ROUND(N212,0),"null")</f>
        <v>null</v>
      </c>
      <c r="P212" s="2" t="str">
        <f>IF(AND(A212=A213,O212=100,O213=100),"full access"," ")</f>
        <v xml:space="preserve"> </v>
      </c>
      <c r="Q212" s="2" t="str">
        <f>IFERROR(IF(A213=A212,((N212-N213)/(C212-C213)),""),"null")</f>
        <v>null</v>
      </c>
      <c r="R212" s="2" t="s">
        <v>45</v>
      </c>
      <c r="S212" s="2" t="s">
        <v>45</v>
      </c>
      <c r="T212" s="2" t="s">
        <v>45</v>
      </c>
      <c r="U212" s="2" t="s">
        <v>45</v>
      </c>
      <c r="V212" s="2" t="str">
        <f>IFERROR(ROUND(U212,0),"null")</f>
        <v>null</v>
      </c>
      <c r="W212" s="2" t="str">
        <f>IF(AND(A212=A213,V212=100,V213=100),"full access","")</f>
        <v/>
      </c>
      <c r="X212" s="2" t="str">
        <f>IFERROR(IF(A213=A212,((U212-U213)/(C212-C213)),""),"null")</f>
        <v>null</v>
      </c>
      <c r="Y212" s="2" t="s">
        <v>45</v>
      </c>
      <c r="Z212" s="2" t="s">
        <v>45</v>
      </c>
      <c r="AA212" s="2" t="s">
        <v>45</v>
      </c>
      <c r="AB212" s="2" t="str">
        <f>IFERROR(IF(A213=A212, Q212-X212, ""), "null")</f>
        <v>null</v>
      </c>
    </row>
    <row r="213" spans="1:28">
      <c r="A213" s="2" t="s">
        <v>157</v>
      </c>
      <c r="B213" s="2" t="str">
        <f>VLOOKUP(A213,Regions!A:B,2,0)</f>
        <v>East Asia &amp; Pacific</v>
      </c>
      <c r="C213" s="2">
        <v>2020</v>
      </c>
      <c r="D213" s="2" t="str">
        <f>IF(A214=A213,ABS(C214-C213),"")</f>
        <v/>
      </c>
      <c r="E213" s="2" t="str">
        <f>IFERROR(IF(A214=A213,((H213-H214)/(C213-C214)), ""), "null")</f>
        <v/>
      </c>
      <c r="F213" s="2">
        <v>126476.46090000001</v>
      </c>
      <c r="G213" s="2">
        <v>91.781997680000003</v>
      </c>
      <c r="H213" s="2">
        <v>99.078912450000004</v>
      </c>
      <c r="I213" s="2">
        <f>IFERROR(ROUND(H213,0),"null")</f>
        <v>99</v>
      </c>
      <c r="J213" s="2" t="str">
        <f>IF(AND(A214=A213,I213=100,I214=100),"full access", " ")</f>
        <v xml:space="preserve"> </v>
      </c>
      <c r="K213" s="2">
        <v>0</v>
      </c>
      <c r="L213" s="2">
        <v>0.92108754670000004</v>
      </c>
      <c r="M213" s="2">
        <v>0</v>
      </c>
      <c r="N213" s="2" t="s">
        <v>45</v>
      </c>
      <c r="O213" s="2" t="str">
        <f>IFERROR(ROUND(N213,0),"null")</f>
        <v>null</v>
      </c>
      <c r="P213" s="2" t="str">
        <f>IF(AND(A213=A214,O213=100,O214=100),"full access"," ")</f>
        <v xml:space="preserve"> </v>
      </c>
      <c r="Q213" s="2" t="str">
        <f>IFERROR(IF(A214=A213,((N213-N214)/(C213-C214)),""),"null")</f>
        <v/>
      </c>
      <c r="R213" s="2" t="s">
        <v>45</v>
      </c>
      <c r="S213" s="2" t="s">
        <v>45</v>
      </c>
      <c r="T213" s="2" t="s">
        <v>45</v>
      </c>
      <c r="U213" s="2" t="s">
        <v>45</v>
      </c>
      <c r="V213" s="2" t="str">
        <f>IFERROR(ROUND(U213,0),"null")</f>
        <v>null</v>
      </c>
      <c r="W213" s="2" t="str">
        <f>IF(AND(A213=A214,V213=100,V214=100),"full access","")</f>
        <v/>
      </c>
      <c r="X213" s="2" t="str">
        <f>IFERROR(IF(A214=A213,((U213-U214)/(C213-C214)),""),"null")</f>
        <v/>
      </c>
      <c r="Y213" s="2" t="s">
        <v>45</v>
      </c>
      <c r="Z213" s="2" t="s">
        <v>45</v>
      </c>
      <c r="AA213" s="2" t="s">
        <v>45</v>
      </c>
      <c r="AB213" s="2" t="str">
        <f>IFERROR(IF(A214=A213, Q213-X213, ""), "null")</f>
        <v/>
      </c>
    </row>
    <row r="214" spans="1:28">
      <c r="A214" s="2" t="s">
        <v>158</v>
      </c>
      <c r="B214" s="2" t="str">
        <f>VLOOKUP(A214,Regions!A:B,2,0)</f>
        <v>Middle East &amp; North Africa</v>
      </c>
      <c r="C214" s="2">
        <v>2015</v>
      </c>
      <c r="D214" s="2">
        <f>IF(A215=A214,ABS(C215-C214),"")</f>
        <v>5</v>
      </c>
      <c r="E214" s="2">
        <f>IFERROR(IF(A215=A214,((H214-H215)/(C214-C215)), ""), "null")</f>
        <v>-1.3296389999999292E-2</v>
      </c>
      <c r="F214" s="2">
        <v>9266.5732420000004</v>
      </c>
      <c r="G214" s="2">
        <v>90.256004329999996</v>
      </c>
      <c r="H214" s="2">
        <v>99.006784909999993</v>
      </c>
      <c r="I214" s="2">
        <f>IFERROR(ROUND(H214,0),"null")</f>
        <v>99</v>
      </c>
      <c r="J214" s="2" t="str">
        <f>IF(AND(A215=A214,I214=100,I215=100),"full access", " ")</f>
        <v xml:space="preserve"> </v>
      </c>
      <c r="K214" s="2">
        <v>0.15240298360000001</v>
      </c>
      <c r="L214" s="2">
        <v>0.78123116479999999</v>
      </c>
      <c r="M214" s="2">
        <v>5.958093834E-2</v>
      </c>
      <c r="N214" s="2">
        <v>97.362315390000006</v>
      </c>
      <c r="O214" s="2">
        <f>IFERROR(ROUND(N214,0),"null")</f>
        <v>97</v>
      </c>
      <c r="P214" s="2" t="str">
        <f>IF(AND(A214=A215,O214=100,O215=100),"full access"," ")</f>
        <v xml:space="preserve"> </v>
      </c>
      <c r="Q214" s="2">
        <f>IFERROR(IF(A215=A214,((N214-N215)/(C214-C215)),""),"null")</f>
        <v>-1.0167340000000991E-2</v>
      </c>
      <c r="R214" s="2">
        <v>0.62427255179999996</v>
      </c>
      <c r="S214" s="2">
        <v>1.973552059</v>
      </c>
      <c r="T214" s="2">
        <v>3.986E-2</v>
      </c>
      <c r="U214" s="2">
        <v>99.184316820000006</v>
      </c>
      <c r="V214" s="2">
        <f>IFERROR(ROUND(U214,0),"null")</f>
        <v>99</v>
      </c>
      <c r="W214" s="2" t="str">
        <f>IF(AND(A214=A215,V214=100,V215=100),"full access","")</f>
        <v/>
      </c>
      <c r="X214" s="2">
        <f>IFERROR(IF(A215=A214,((U214-U215)/(C214-C215)),""),"null")</f>
        <v>-1.8220846000002667E-2</v>
      </c>
      <c r="Y214" s="2">
        <v>0.10146013550000001</v>
      </c>
      <c r="Z214" s="2">
        <v>0.65251304369999996</v>
      </c>
      <c r="AA214" s="2">
        <v>6.1710000000000001E-2</v>
      </c>
      <c r="AB214" s="2">
        <f>IFERROR(IF(A215=A214, Q214-X214, ""), "null")</f>
        <v>8.0535060000016759E-3</v>
      </c>
    </row>
    <row r="215" spans="1:28">
      <c r="A215" s="2" t="s">
        <v>158</v>
      </c>
      <c r="B215" s="2" t="str">
        <f>VLOOKUP(A215,Regions!A:B,2,0)</f>
        <v>Middle East &amp; North Africa</v>
      </c>
      <c r="C215" s="2">
        <v>2020</v>
      </c>
      <c r="D215" s="2" t="str">
        <f>IF(A216=A215,ABS(C216-C215),"")</f>
        <v/>
      </c>
      <c r="E215" s="2" t="str">
        <f>IFERROR(IF(A216=A215,((H215-H216)/(C215-C216)), ""), "null")</f>
        <v/>
      </c>
      <c r="F215" s="2">
        <v>10203.139649999999</v>
      </c>
      <c r="G215" s="2">
        <v>91.417999269999996</v>
      </c>
      <c r="H215" s="2">
        <v>98.940302959999997</v>
      </c>
      <c r="I215" s="2">
        <f>IFERROR(ROUND(H215,0),"null")</f>
        <v>99</v>
      </c>
      <c r="J215" s="2" t="str">
        <f>IF(AND(A216=A215,I215=100,I216=100),"full access", " ")</f>
        <v xml:space="preserve"> </v>
      </c>
      <c r="K215" s="2">
        <v>0.1462147369</v>
      </c>
      <c r="L215" s="2">
        <v>0.8536474704</v>
      </c>
      <c r="M215" s="2">
        <v>5.9834831790000001E-2</v>
      </c>
      <c r="N215" s="2">
        <v>97.311478690000001</v>
      </c>
      <c r="O215" s="2">
        <f>IFERROR(ROUND(N215,0),"null")</f>
        <v>97</v>
      </c>
      <c r="P215" s="2" t="str">
        <f>IF(AND(A215=A216,O215=100,O216=100),"full access"," ")</f>
        <v xml:space="preserve"> </v>
      </c>
      <c r="Q215" s="2" t="str">
        <f>IFERROR(IF(A216=A215,((N215-N216)/(C215-C216)),""),"null")</f>
        <v/>
      </c>
      <c r="R215" s="2">
        <v>0.62394659450000001</v>
      </c>
      <c r="S215" s="2">
        <v>2.0247147160000001</v>
      </c>
      <c r="T215" s="2">
        <v>3.986E-2</v>
      </c>
      <c r="U215" s="2">
        <v>99.093212589999993</v>
      </c>
      <c r="V215" s="2">
        <f>IFERROR(ROUND(U215,0),"null")</f>
        <v>99</v>
      </c>
      <c r="W215" s="2" t="str">
        <f>IF(AND(A215=A216,V215=100,V216=100),"full access","")</f>
        <v/>
      </c>
      <c r="X215" s="2" t="str">
        <f>IFERROR(IF(A216=A215,((U215-U216)/(C215-C216)),""),"null")</f>
        <v/>
      </c>
      <c r="Y215" s="2">
        <v>0.1013669408</v>
      </c>
      <c r="Z215" s="2">
        <v>0.74371047069999996</v>
      </c>
      <c r="AA215" s="2">
        <v>6.1710000000000001E-2</v>
      </c>
      <c r="AB215" s="2" t="str">
        <f>IFERROR(IF(A216=A215, Q215-X215, ""), "null")</f>
        <v/>
      </c>
    </row>
    <row r="216" spans="1:28">
      <c r="A216" s="2" t="s">
        <v>159</v>
      </c>
      <c r="B216" s="2" t="str">
        <f>VLOOKUP(A216,Regions!A:B,2,0)</f>
        <v>Europe &amp; Central Asia</v>
      </c>
      <c r="C216" s="2">
        <v>2015</v>
      </c>
      <c r="D216" s="2">
        <f>IF(A217=A216,ABS(C217-C216),"")</f>
        <v>5</v>
      </c>
      <c r="E216" s="2">
        <f>IFERROR(IF(A217=A216,((H216-H217)/(C216-C217)), ""), "null")</f>
        <v>8.1927182000001153E-2</v>
      </c>
      <c r="F216" s="2">
        <v>17572.009770000001</v>
      </c>
      <c r="G216" s="2">
        <v>57.191001890000003</v>
      </c>
      <c r="H216" s="2">
        <v>95.025334409999999</v>
      </c>
      <c r="I216" s="2">
        <f>IFERROR(ROUND(H216,0),"null")</f>
        <v>95</v>
      </c>
      <c r="J216" s="2" t="str">
        <f>IF(AND(A217=A216,I216=100,I217=100),"full access", " ")</f>
        <v xml:space="preserve"> </v>
      </c>
      <c r="K216" s="2">
        <v>1.812908425</v>
      </c>
      <c r="L216" s="2">
        <v>2.9043926519999999</v>
      </c>
      <c r="M216" s="2">
        <v>0.25736451110000003</v>
      </c>
      <c r="N216" s="2">
        <v>90.747497839999994</v>
      </c>
      <c r="O216" s="2">
        <f>IFERROR(ROUND(N216,0),"null")</f>
        <v>91</v>
      </c>
      <c r="P216" s="2" t="str">
        <f>IF(AND(A216=A217,O216=100,O217=100),"full access"," ")</f>
        <v xml:space="preserve"> </v>
      </c>
      <c r="Q216" s="2">
        <f>IFERROR(IF(A217=A216,((N216-N217)/(C216-C217)),""),"null")</f>
        <v>0.23835090000000037</v>
      </c>
      <c r="R216" s="2">
        <v>1.8667718499999999</v>
      </c>
      <c r="S216" s="2">
        <v>6.7845377490000001</v>
      </c>
      <c r="T216" s="2">
        <v>0.60119255559999996</v>
      </c>
      <c r="U216" s="2">
        <v>98.227409789999996</v>
      </c>
      <c r="V216" s="2">
        <f>IFERROR(ROUND(U216,0),"null")</f>
        <v>98</v>
      </c>
      <c r="W216" s="2" t="str">
        <f>IF(AND(A216=A217,V216=100,V217=100),"full access","")</f>
        <v/>
      </c>
      <c r="X216" s="2">
        <f>IFERROR(IF(A217=A216,((U216-U217)/(C216-C217)),""),"null")</f>
        <v>-4.5335692000000448E-2</v>
      </c>
      <c r="Y216" s="2">
        <v>1.7725902060000001</v>
      </c>
      <c r="Z216" s="2">
        <v>0</v>
      </c>
      <c r="AA216" s="2">
        <v>0</v>
      </c>
      <c r="AB216" s="2">
        <f>IFERROR(IF(A217=A216, Q216-X216, ""), "null")</f>
        <v>0.28368659200000079</v>
      </c>
    </row>
    <row r="217" spans="1:28">
      <c r="A217" s="2" t="s">
        <v>159</v>
      </c>
      <c r="B217" s="2" t="str">
        <f>VLOOKUP(A217,Regions!A:B,2,0)</f>
        <v>Europe &amp; Central Asia</v>
      </c>
      <c r="C217" s="2">
        <v>2020</v>
      </c>
      <c r="D217" s="2" t="str">
        <f>IF(A218=A217,ABS(C218-C217),"")</f>
        <v/>
      </c>
      <c r="E217" s="2" t="str">
        <f>IFERROR(IF(A218=A217,((H217-H218)/(C217-C218)), ""), "null")</f>
        <v/>
      </c>
      <c r="F217" s="2">
        <v>18776.707030000001</v>
      </c>
      <c r="G217" s="2">
        <v>57.671001429999997</v>
      </c>
      <c r="H217" s="2">
        <v>95.434970320000005</v>
      </c>
      <c r="I217" s="2">
        <f>IFERROR(ROUND(H217,0),"null")</f>
        <v>95</v>
      </c>
      <c r="J217" s="2" t="str">
        <f>IF(AND(A218=A217,I217=100,I218=100),"full access", " ")</f>
        <v xml:space="preserve"> </v>
      </c>
      <c r="K217" s="2">
        <v>1.9414250390000001</v>
      </c>
      <c r="L217" s="2">
        <v>2.5459569339999999</v>
      </c>
      <c r="M217" s="2">
        <v>7.7647704710000001E-2</v>
      </c>
      <c r="N217" s="2">
        <v>91.939252339999996</v>
      </c>
      <c r="O217" s="2">
        <f>IFERROR(ROUND(N217,0),"null")</f>
        <v>92</v>
      </c>
      <c r="P217" s="2" t="str">
        <f>IF(AND(A217=A218,O217=100,O218=100),"full access"," ")</f>
        <v xml:space="preserve"> </v>
      </c>
      <c r="Q217" s="2" t="str">
        <f>IFERROR(IF(A218=A217,((N217-N218)/(C217-C218)),""),"null")</f>
        <v/>
      </c>
      <c r="R217" s="2">
        <v>1.862616064</v>
      </c>
      <c r="S217" s="2">
        <v>6.0146930489999999</v>
      </c>
      <c r="T217" s="2">
        <v>0.18343854379999999</v>
      </c>
      <c r="U217" s="2">
        <v>98.000731329999994</v>
      </c>
      <c r="V217" s="2">
        <f>IFERROR(ROUND(U217,0),"null")</f>
        <v>98</v>
      </c>
      <c r="W217" s="2" t="str">
        <f>IF(AND(A217=A218,V217=100,V218=100),"full access","")</f>
        <v/>
      </c>
      <c r="X217" s="2" t="str">
        <f>IFERROR(IF(A218=A217,((U217-U218)/(C217-C218)),""),"null")</f>
        <v/>
      </c>
      <c r="Y217" s="2">
        <v>1.999268673</v>
      </c>
      <c r="Z217" s="2">
        <v>0</v>
      </c>
      <c r="AA217" s="2">
        <v>0</v>
      </c>
      <c r="AB217" s="2" t="str">
        <f>IFERROR(IF(A218=A217, Q217-X217, ""), "null")</f>
        <v/>
      </c>
    </row>
    <row r="218" spans="1:28">
      <c r="A218" s="2" t="s">
        <v>160</v>
      </c>
      <c r="B218" s="2" t="str">
        <f>VLOOKUP(A218,Regions!A:B,2,0)</f>
        <v>Sub-Saharan Africa</v>
      </c>
      <c r="C218" s="2">
        <v>2015</v>
      </c>
      <c r="D218" s="2">
        <f>IF(A219=A218,ABS(C219-C218),"")</f>
        <v>5</v>
      </c>
      <c r="E218" s="2">
        <f>IFERROR(IF(A219=A218,((H218-H219)/(C218-C219)), ""), "null")</f>
        <v>0.6871927200000002</v>
      </c>
      <c r="F218" s="2">
        <v>47878.339840000001</v>
      </c>
      <c r="G218" s="2">
        <v>25.65799904</v>
      </c>
      <c r="H218" s="2">
        <v>58.196927979999998</v>
      </c>
      <c r="I218" s="2">
        <f>IFERROR(ROUND(H218,0),"null")</f>
        <v>58</v>
      </c>
      <c r="J218" s="2" t="str">
        <f>IF(AND(A219=A218,I218=100,I219=100),"full access", " ")</f>
        <v xml:space="preserve"> </v>
      </c>
      <c r="K218" s="2">
        <v>8.7967539769999998</v>
      </c>
      <c r="L218" s="2">
        <v>11.522918349999999</v>
      </c>
      <c r="M218" s="2">
        <v>21.483399689999999</v>
      </c>
      <c r="N218" s="2">
        <v>48.272161910000001</v>
      </c>
      <c r="O218" s="2">
        <f>IFERROR(ROUND(N218,0),"null")</f>
        <v>48</v>
      </c>
      <c r="P218" s="2" t="str">
        <f>IF(AND(A218=A219,O218=100,O219=100),"full access"," ")</f>
        <v xml:space="preserve"> </v>
      </c>
      <c r="Q218" s="2">
        <f>IFERROR(IF(A219=A218,((N218-N219)/(C218-C219)),""),"null")</f>
        <v>0.7015634039999995</v>
      </c>
      <c r="R218" s="2">
        <v>10.37313934</v>
      </c>
      <c r="S218" s="2">
        <v>14.21683468</v>
      </c>
      <c r="T218" s="2">
        <v>27.13786408</v>
      </c>
      <c r="U218" s="2">
        <v>86.953147920000006</v>
      </c>
      <c r="V218" s="2">
        <f>IFERROR(ROUND(U218,0),"null")</f>
        <v>87</v>
      </c>
      <c r="W218" s="2" t="str">
        <f>IF(AND(A218=A219,V218=100,V219=100),"full access","")</f>
        <v/>
      </c>
      <c r="X218" s="2">
        <f>IFERROR(IF(A219=A218,((U218-U219)/(C218-C219)),""),"null")</f>
        <v>4.4167059999978163E-3</v>
      </c>
      <c r="Y218" s="2">
        <v>4.2293042700000001</v>
      </c>
      <c r="Z218" s="2">
        <v>3.7175043830000001</v>
      </c>
      <c r="AA218" s="2">
        <v>5.1000434290000003</v>
      </c>
      <c r="AB218" s="2">
        <f>IFERROR(IF(A219=A218, Q218-X218, ""), "null")</f>
        <v>0.69714669800000173</v>
      </c>
    </row>
    <row r="219" spans="1:28">
      <c r="A219" s="2" t="s">
        <v>160</v>
      </c>
      <c r="B219" s="2" t="str">
        <f>VLOOKUP(A219,Regions!A:B,2,0)</f>
        <v>Sub-Saharan Africa</v>
      </c>
      <c r="C219" s="2">
        <v>2020</v>
      </c>
      <c r="D219" s="2" t="str">
        <f>IF(A220=A219,ABS(C220-C219),"")</f>
        <v/>
      </c>
      <c r="E219" s="2" t="str">
        <f>IFERROR(IF(A220=A219,((H219-H220)/(C219-C220)), ""), "null")</f>
        <v/>
      </c>
      <c r="F219" s="2">
        <v>53771.300779999998</v>
      </c>
      <c r="G219" s="2">
        <v>27.994998930000001</v>
      </c>
      <c r="H219" s="2">
        <v>61.632891579999999</v>
      </c>
      <c r="I219" s="2">
        <f>IFERROR(ROUND(H219,0),"null")</f>
        <v>62</v>
      </c>
      <c r="J219" s="2" t="str">
        <f>IF(AND(A220=A219,I219=100,I220=100),"full access", " ")</f>
        <v xml:space="preserve"> </v>
      </c>
      <c r="K219" s="2">
        <v>9.54187005</v>
      </c>
      <c r="L219" s="2">
        <v>9.7800875240000007</v>
      </c>
      <c r="M219" s="2">
        <v>19.045150840000002</v>
      </c>
      <c r="N219" s="2">
        <v>51.779978929999999</v>
      </c>
      <c r="O219" s="2">
        <f>IFERROR(ROUND(N219,0),"null")</f>
        <v>52</v>
      </c>
      <c r="P219" s="2" t="str">
        <f>IF(AND(A219=A220,O219=100,O220=100),"full access"," ")</f>
        <v xml:space="preserve"> </v>
      </c>
      <c r="Q219" s="2" t="str">
        <f>IFERROR(IF(A220=A219,((N219-N220)/(C219-C220)),""),"null")</f>
        <v/>
      </c>
      <c r="R219" s="2">
        <v>11.569004189999999</v>
      </c>
      <c r="S219" s="2">
        <v>12.519113219999999</v>
      </c>
      <c r="T219" s="2">
        <v>24.131903659999999</v>
      </c>
      <c r="U219" s="2">
        <v>86.975231449999995</v>
      </c>
      <c r="V219" s="2">
        <f>IFERROR(ROUND(U219,0),"null")</f>
        <v>87</v>
      </c>
      <c r="W219" s="2" t="str">
        <f>IF(AND(A219=A220,V219=100,V220=100),"full access","")</f>
        <v/>
      </c>
      <c r="X219" s="2" t="str">
        <f>IFERROR(IF(A220=A219,((U219-U220)/(C219-C220)),""),"null")</f>
        <v/>
      </c>
      <c r="Y219" s="2">
        <v>4.327944725</v>
      </c>
      <c r="Z219" s="2">
        <v>2.7351426299999999</v>
      </c>
      <c r="AA219" s="2">
        <v>5.9616811930000004</v>
      </c>
      <c r="AB219" s="2" t="str">
        <f>IFERROR(IF(A220=A219, Q219-X219, ""), "null")</f>
        <v/>
      </c>
    </row>
    <row r="220" spans="1:28">
      <c r="A220" s="2" t="s">
        <v>161</v>
      </c>
      <c r="B220" s="2" t="str">
        <f>VLOOKUP(A220,Regions!A:B,2,0)</f>
        <v>East Asia &amp; Pacific</v>
      </c>
      <c r="C220" s="2">
        <v>2015</v>
      </c>
      <c r="D220" s="2">
        <f>IF(A221=A220,ABS(C221-C220),"")</f>
        <v>5</v>
      </c>
      <c r="E220" s="2">
        <f>IFERROR(IF(A221=A220,((H220-H221)/(C220-C221)), ""), "null")</f>
        <v>0.82456485200000029</v>
      </c>
      <c r="F220" s="2">
        <v>110.927002</v>
      </c>
      <c r="G220" s="2">
        <v>51.618999479999999</v>
      </c>
      <c r="H220" s="2">
        <v>73.848096589999997</v>
      </c>
      <c r="I220" s="2">
        <f>IFERROR(ROUND(H220,0),"null")</f>
        <v>74</v>
      </c>
      <c r="J220" s="2" t="str">
        <f>IF(AND(A221=A220,I220=100,I221=100),"full access", " ")</f>
        <v xml:space="preserve"> </v>
      </c>
      <c r="K220" s="2">
        <v>2.3408915690000001</v>
      </c>
      <c r="L220" s="2">
        <v>23.811011839999999</v>
      </c>
      <c r="M220" s="2">
        <v>0</v>
      </c>
      <c r="N220" s="2">
        <v>57.922252589999999</v>
      </c>
      <c r="O220" s="2">
        <f>IFERROR(ROUND(N220,0),"null")</f>
        <v>58</v>
      </c>
      <c r="P220" s="2" t="str">
        <f>IF(AND(A220=A221,O220=100,O221=100),"full access"," ")</f>
        <v xml:space="preserve"> </v>
      </c>
      <c r="Q220" s="2">
        <f>IFERROR(IF(A221=A220,((N220-N221)/(C220-C221)),""),"null")</f>
        <v>0.61438646000000008</v>
      </c>
      <c r="R220" s="2">
        <v>1.6395879280000001</v>
      </c>
      <c r="S220" s="2">
        <v>40.438159480000003</v>
      </c>
      <c r="T220" s="2">
        <v>0</v>
      </c>
      <c r="U220" s="2">
        <v>88.774932000000007</v>
      </c>
      <c r="V220" s="2">
        <f>IFERROR(ROUND(U220,0),"null")</f>
        <v>89</v>
      </c>
      <c r="W220" s="2" t="str">
        <f>IF(AND(A220=A221,V220=100,V221=100),"full access","")</f>
        <v/>
      </c>
      <c r="X220" s="2">
        <f>IFERROR(IF(A221=A220,((U220-U221)/(C220-C221)),""),"null")</f>
        <v>0.55124856999999849</v>
      </c>
      <c r="Y220" s="2">
        <v>2.9982032959999998</v>
      </c>
      <c r="Z220" s="2">
        <v>8.2268647060000006</v>
      </c>
      <c r="AA220" s="2">
        <v>0</v>
      </c>
      <c r="AB220" s="2">
        <f>IFERROR(IF(A221=A220, Q220-X220, ""), "null")</f>
        <v>6.3137890000001584E-2</v>
      </c>
    </row>
    <row r="221" spans="1:28">
      <c r="A221" s="2" t="s">
        <v>161</v>
      </c>
      <c r="B221" s="2" t="str">
        <f>VLOOKUP(A221,Regions!A:B,2,0)</f>
        <v>East Asia &amp; Pacific</v>
      </c>
      <c r="C221" s="2">
        <v>2020</v>
      </c>
      <c r="D221" s="2" t="str">
        <f>IF(A222=A221,ABS(C222-C221),"")</f>
        <v/>
      </c>
      <c r="E221" s="2" t="str">
        <f>IFERROR(IF(A222=A221,((H221-H222)/(C221-C222)), ""), "null")</f>
        <v/>
      </c>
      <c r="F221" s="2">
        <v>119.44599909999999</v>
      </c>
      <c r="G221" s="2">
        <v>55.593997960000003</v>
      </c>
      <c r="H221" s="2">
        <v>77.970920849999999</v>
      </c>
      <c r="I221" s="2">
        <f>IFERROR(ROUND(H221,0),"null")</f>
        <v>78</v>
      </c>
      <c r="J221" s="2" t="str">
        <f>IF(AND(A222=A221,I221=100,I222=100),"full access", " ")</f>
        <v xml:space="preserve"> </v>
      </c>
      <c r="K221" s="2">
        <v>4.0768996250000002</v>
      </c>
      <c r="L221" s="2">
        <v>17.952179529999999</v>
      </c>
      <c r="M221" s="2">
        <v>0</v>
      </c>
      <c r="N221" s="2">
        <v>60.99418489</v>
      </c>
      <c r="O221" s="2">
        <f>IFERROR(ROUND(N221,0),"null")</f>
        <v>61</v>
      </c>
      <c r="P221" s="2" t="str">
        <f>IF(AND(A221=A222,O221=100,O222=100),"full access"," ")</f>
        <v xml:space="preserve"> </v>
      </c>
      <c r="Q221" s="2" t="str">
        <f>IFERROR(IF(A222=A221,((N221-N222)/(C221-C222)),""),"null")</f>
        <v/>
      </c>
      <c r="R221" s="2">
        <v>2.0966097989999999</v>
      </c>
      <c r="S221" s="2">
        <v>36.909205319999998</v>
      </c>
      <c r="T221" s="2">
        <v>0</v>
      </c>
      <c r="U221" s="2">
        <v>91.531174849999999</v>
      </c>
      <c r="V221" s="2">
        <f>IFERROR(ROUND(U221,0),"null")</f>
        <v>92</v>
      </c>
      <c r="W221" s="2" t="str">
        <f>IF(AND(A221=A222,V221=100,V222=100),"full access","")</f>
        <v/>
      </c>
      <c r="X221" s="2" t="str">
        <f>IFERROR(IF(A222=A221,((U221-U222)/(C221-C222)),""),"null")</f>
        <v/>
      </c>
      <c r="Y221" s="2">
        <v>5.6586664610000001</v>
      </c>
      <c r="Z221" s="2">
        <v>2.8101586909999998</v>
      </c>
      <c r="AA221" s="2">
        <v>0</v>
      </c>
      <c r="AB221" s="2" t="str">
        <f>IFERROR(IF(A222=A221, Q221-X221, ""), "null")</f>
        <v/>
      </c>
    </row>
    <row r="222" spans="1:28">
      <c r="A222" s="2" t="s">
        <v>162</v>
      </c>
      <c r="B222" s="2" t="str">
        <f>VLOOKUP(A222,Regions!A:B,2,0)</f>
        <v>Middle East &amp; North Africa</v>
      </c>
      <c r="C222" s="2">
        <v>2015</v>
      </c>
      <c r="D222" s="2">
        <f>IF(A223=A222,ABS(C223-C222),"")</f>
        <v>5</v>
      </c>
      <c r="E222" s="2">
        <f>IFERROR(IF(A223=A222,((H222-H223)/(C222-C223)), ""), "null")</f>
        <v>0</v>
      </c>
      <c r="F222" s="2">
        <v>3835.5878910000001</v>
      </c>
      <c r="G222" s="2">
        <v>100</v>
      </c>
      <c r="H222" s="2">
        <v>100</v>
      </c>
      <c r="I222" s="2">
        <f>IFERROR(ROUND(H222,0),"null")</f>
        <v>100</v>
      </c>
      <c r="J222" s="2" t="str">
        <f>IF(AND(A223=A222,I222=100,I223=100),"full access", " ")</f>
        <v>full access</v>
      </c>
      <c r="K222" s="2">
        <v>0</v>
      </c>
      <c r="L222" s="2">
        <v>0</v>
      </c>
      <c r="M222" s="2">
        <v>0</v>
      </c>
      <c r="N222" s="2" t="s">
        <v>45</v>
      </c>
      <c r="O222" s="2" t="str">
        <f>IFERROR(ROUND(N222,0),"null")</f>
        <v>null</v>
      </c>
      <c r="P222" s="2" t="str">
        <f>IF(AND(A222=A223,O222=100,O223=100),"full access"," ")</f>
        <v xml:space="preserve"> </v>
      </c>
      <c r="Q222" s="2" t="str">
        <f>IFERROR(IF(A223=A222,((N222-N223)/(C222-C223)),""),"null")</f>
        <v>null</v>
      </c>
      <c r="R222" s="2" t="s">
        <v>45</v>
      </c>
      <c r="S222" s="2" t="s">
        <v>45</v>
      </c>
      <c r="T222" s="2" t="s">
        <v>45</v>
      </c>
      <c r="U222" s="2" t="s">
        <v>45</v>
      </c>
      <c r="V222" s="2" t="str">
        <f>IFERROR(ROUND(U222,0),"null")</f>
        <v>null</v>
      </c>
      <c r="W222" s="2" t="str">
        <f>IF(AND(A222=A223,V222=100,V223=100),"full access","")</f>
        <v/>
      </c>
      <c r="X222" s="2" t="str">
        <f>IFERROR(IF(A223=A222,((U222-U223)/(C222-C223)),""),"null")</f>
        <v>null</v>
      </c>
      <c r="Y222" s="2" t="s">
        <v>45</v>
      </c>
      <c r="Z222" s="2" t="s">
        <v>45</v>
      </c>
      <c r="AA222" s="2" t="s">
        <v>45</v>
      </c>
      <c r="AB222" s="2" t="str">
        <f>IFERROR(IF(A223=A222, Q222-X222, ""), "null")</f>
        <v>null</v>
      </c>
    </row>
    <row r="223" spans="1:28">
      <c r="A223" s="2" t="s">
        <v>162</v>
      </c>
      <c r="B223" s="2" t="str">
        <f>VLOOKUP(A223,Regions!A:B,2,0)</f>
        <v>Middle East &amp; North Africa</v>
      </c>
      <c r="C223" s="2">
        <v>2020</v>
      </c>
      <c r="D223" s="2" t="str">
        <f>IF(A224=A223,ABS(C224-C223),"")</f>
        <v/>
      </c>
      <c r="E223" s="2" t="str">
        <f>IFERROR(IF(A224=A223,((H223-H224)/(C223-C224)), ""), "null")</f>
        <v/>
      </c>
      <c r="F223" s="2">
        <v>4270.5629879999997</v>
      </c>
      <c r="G223" s="2">
        <v>100</v>
      </c>
      <c r="H223" s="2">
        <v>100</v>
      </c>
      <c r="I223" s="2">
        <f>IFERROR(ROUND(H223,0),"null")</f>
        <v>100</v>
      </c>
      <c r="J223" s="2" t="str">
        <f>IF(AND(A224=A223,I223=100,I224=100),"full access", " ")</f>
        <v xml:space="preserve"> </v>
      </c>
      <c r="K223" s="2">
        <v>0</v>
      </c>
      <c r="L223" s="2">
        <v>0</v>
      </c>
      <c r="M223" s="2">
        <v>0</v>
      </c>
      <c r="N223" s="2" t="s">
        <v>45</v>
      </c>
      <c r="O223" s="2" t="str">
        <f>IFERROR(ROUND(N223,0),"null")</f>
        <v>null</v>
      </c>
      <c r="P223" s="2" t="str">
        <f>IF(AND(A223=A224,O223=100,O224=100),"full access"," ")</f>
        <v xml:space="preserve"> </v>
      </c>
      <c r="Q223" s="2" t="str">
        <f>IFERROR(IF(A224=A223,((N223-N224)/(C223-C224)),""),"null")</f>
        <v/>
      </c>
      <c r="R223" s="2" t="s">
        <v>45</v>
      </c>
      <c r="S223" s="2" t="s">
        <v>45</v>
      </c>
      <c r="T223" s="2" t="s">
        <v>45</v>
      </c>
      <c r="U223" s="2" t="s">
        <v>45</v>
      </c>
      <c r="V223" s="2" t="str">
        <f>IFERROR(ROUND(U223,0),"null")</f>
        <v>null</v>
      </c>
      <c r="W223" s="2" t="str">
        <f>IF(AND(A223=A224,V223=100,V224=100),"full access","")</f>
        <v/>
      </c>
      <c r="X223" s="2" t="str">
        <f>IFERROR(IF(A224=A223,((U223-U224)/(C223-C224)),""),"null")</f>
        <v/>
      </c>
      <c r="Y223" s="2" t="s">
        <v>45</v>
      </c>
      <c r="Z223" s="2" t="s">
        <v>45</v>
      </c>
      <c r="AA223" s="2" t="s">
        <v>45</v>
      </c>
      <c r="AB223" s="2" t="str">
        <f>IFERROR(IF(A224=A223, Q223-X223, ""), "null")</f>
        <v/>
      </c>
    </row>
    <row r="224" spans="1:28">
      <c r="A224" s="2" t="s">
        <v>163</v>
      </c>
      <c r="B224" s="2" t="str">
        <f>VLOOKUP(A224,Regions!A:B,2,0)</f>
        <v>Europe &amp; Central Asia</v>
      </c>
      <c r="C224" s="2">
        <v>2015</v>
      </c>
      <c r="D224" s="2">
        <f>IF(A225=A224,ABS(C225-C224),"")</f>
        <v>5</v>
      </c>
      <c r="E224" s="2">
        <f>IFERROR(IF(A225=A224,((H224-H225)/(C224-C225)), ""), "null")</f>
        <v>0.65150879400000006</v>
      </c>
      <c r="F224" s="2">
        <v>5959.1259769999997</v>
      </c>
      <c r="G224" s="2">
        <v>35.777000430000001</v>
      </c>
      <c r="H224" s="2">
        <v>88.441761249999999</v>
      </c>
      <c r="I224" s="2">
        <f>IFERROR(ROUND(H224,0),"null")</f>
        <v>88</v>
      </c>
      <c r="J224" s="2" t="str">
        <f>IF(AND(A225=A224,I224=100,I225=100),"full access", " ")</f>
        <v xml:space="preserve"> </v>
      </c>
      <c r="K224" s="2">
        <v>1.7899358359999999</v>
      </c>
      <c r="L224" s="2">
        <v>2.2480629049999998</v>
      </c>
      <c r="M224" s="2">
        <v>7.5202400129999996</v>
      </c>
      <c r="N224" s="2">
        <v>83.105217640000006</v>
      </c>
      <c r="O224" s="2">
        <f>IFERROR(ROUND(N224,0),"null")</f>
        <v>83</v>
      </c>
      <c r="P224" s="2" t="str">
        <f>IF(AND(A224=A225,O224=100,O225=100),"full access"," ")</f>
        <v xml:space="preserve"> </v>
      </c>
      <c r="Q224" s="2">
        <f>IFERROR(IF(A225=A224,((N224-N225)/(C224-C225)),""),"null")</f>
        <v>0.83064227200000007</v>
      </c>
      <c r="R224" s="2">
        <v>2.4159736540000001</v>
      </c>
      <c r="S224" s="2">
        <v>3.3531687830000001</v>
      </c>
      <c r="T224" s="2">
        <v>11.12563993</v>
      </c>
      <c r="U224" s="2">
        <v>98.021346449999996</v>
      </c>
      <c r="V224" s="2">
        <f>IFERROR(ROUND(U224,0),"null")</f>
        <v>98</v>
      </c>
      <c r="W224" s="2" t="str">
        <f>IF(AND(A224=A225,V224=100,V225=100),"full access","")</f>
        <v/>
      </c>
      <c r="X224" s="2">
        <f>IFERROR(IF(A225=A224,((U224-U225)/(C224-C225)),""),"null")</f>
        <v>0.25726917199999944</v>
      </c>
      <c r="Y224" s="2">
        <v>0.66614053719999999</v>
      </c>
      <c r="Z224" s="2">
        <v>0.26429650360000001</v>
      </c>
      <c r="AA224" s="2">
        <v>1.04821651</v>
      </c>
      <c r="AB224" s="2">
        <f>IFERROR(IF(A225=A224, Q224-X224, ""), "null")</f>
        <v>0.57337310000000064</v>
      </c>
    </row>
    <row r="225" spans="1:28">
      <c r="A225" s="2" t="s">
        <v>163</v>
      </c>
      <c r="B225" s="2" t="str">
        <f>VLOOKUP(A225,Regions!A:B,2,0)</f>
        <v>Europe &amp; Central Asia</v>
      </c>
      <c r="C225" s="2">
        <v>2020</v>
      </c>
      <c r="D225" s="2" t="str">
        <f>IF(A226=A225,ABS(C226-C225),"")</f>
        <v/>
      </c>
      <c r="E225" s="2" t="str">
        <f>IFERROR(IF(A226=A225,((H225-H226)/(C225-C226)), ""), "null")</f>
        <v/>
      </c>
      <c r="F225" s="2">
        <v>6524.1909180000002</v>
      </c>
      <c r="G225" s="2">
        <v>36.855998990000003</v>
      </c>
      <c r="H225" s="2">
        <v>91.699305219999999</v>
      </c>
      <c r="I225" s="2">
        <f>IFERROR(ROUND(H225,0),"null")</f>
        <v>92</v>
      </c>
      <c r="J225" s="2" t="str">
        <f>IF(AND(A226=A225,I225=100,I226=100),"full access", " ")</f>
        <v xml:space="preserve"> </v>
      </c>
      <c r="K225" s="2">
        <v>1.900734111</v>
      </c>
      <c r="L225" s="2">
        <v>1.8656486999999999</v>
      </c>
      <c r="M225" s="2">
        <v>4.5343119649999997</v>
      </c>
      <c r="N225" s="2">
        <v>87.258429000000007</v>
      </c>
      <c r="O225" s="2">
        <f>IFERROR(ROUND(N225,0),"null")</f>
        <v>87</v>
      </c>
      <c r="P225" s="2" t="str">
        <f>IF(AND(A225=A226,O225=100,O226=100),"full access"," ")</f>
        <v xml:space="preserve"> </v>
      </c>
      <c r="Q225" s="2" t="str">
        <f>IFERROR(IF(A226=A225,((N225-N226)/(C225-C226)),""),"null")</f>
        <v/>
      </c>
      <c r="R225" s="2">
        <v>2.606070485</v>
      </c>
      <c r="S225" s="2">
        <v>2.9545936840000002</v>
      </c>
      <c r="T225" s="2">
        <v>7.1809068319999998</v>
      </c>
      <c r="U225" s="2">
        <v>99.307692309999993</v>
      </c>
      <c r="V225" s="2">
        <f>IFERROR(ROUND(U225,0),"null")</f>
        <v>99</v>
      </c>
      <c r="W225" s="2" t="str">
        <f>IF(AND(A225=A226,V225=100,V226=100),"full access","")</f>
        <v/>
      </c>
      <c r="X225" s="2" t="str">
        <f>IFERROR(IF(A226=A225,((U225-U226)/(C225-C226)),""),"null")</f>
        <v/>
      </c>
      <c r="Y225" s="2">
        <v>0.6923076923</v>
      </c>
      <c r="Z225" s="2">
        <v>0</v>
      </c>
      <c r="AA225" s="2">
        <v>0</v>
      </c>
      <c r="AB225" s="2" t="str">
        <f>IFERROR(IF(A226=A225, Q225-X225, ""), "null")</f>
        <v/>
      </c>
    </row>
    <row r="226" spans="1:28">
      <c r="A226" s="2" t="s">
        <v>164</v>
      </c>
      <c r="B226" s="2" t="str">
        <f>VLOOKUP(A226,Regions!A:B,2,0)</f>
        <v>East Asia &amp; Pacific</v>
      </c>
      <c r="C226" s="2">
        <v>2015</v>
      </c>
      <c r="D226" s="2">
        <f>IF(A227=A226,ABS(C227-C226),"")</f>
        <v>5</v>
      </c>
      <c r="E226" s="2">
        <f>IFERROR(IF(A227=A226,((H226-H227)/(C226-C227)), ""), "null")</f>
        <v>1.551834194</v>
      </c>
      <c r="F226" s="2">
        <v>6741.1601559999999</v>
      </c>
      <c r="G226" s="2">
        <v>33.10799789</v>
      </c>
      <c r="H226" s="2">
        <v>77.460572209999995</v>
      </c>
      <c r="I226" s="2">
        <f>IFERROR(ROUND(H226,0),"null")</f>
        <v>77</v>
      </c>
      <c r="J226" s="2" t="str">
        <f>IF(AND(A227=A226,I226=100,I227=100),"full access", " ")</f>
        <v xml:space="preserve"> </v>
      </c>
      <c r="K226" s="2">
        <v>3.0523403340000002</v>
      </c>
      <c r="L226" s="2">
        <v>14.22792235</v>
      </c>
      <c r="M226" s="2">
        <v>5.2591651080000004</v>
      </c>
      <c r="N226" s="2">
        <v>70.239686550000002</v>
      </c>
      <c r="O226" s="2">
        <f>IFERROR(ROUND(N226,0),"null")</f>
        <v>70</v>
      </c>
      <c r="P226" s="2" t="str">
        <f>IF(AND(A226=A227,O226=100,O227=100),"full access"," ")</f>
        <v xml:space="preserve"> </v>
      </c>
      <c r="Q226" s="2">
        <f>IFERROR(IF(A227=A226,((N226-N227)/(C226-C227)),""),"null")</f>
        <v>1.6466545739999987</v>
      </c>
      <c r="R226" s="2">
        <v>4.1702933629999999</v>
      </c>
      <c r="S226" s="2">
        <v>18.202221389999998</v>
      </c>
      <c r="T226" s="2">
        <v>7.3877986939999998</v>
      </c>
      <c r="U226" s="2">
        <v>92.049779979999997</v>
      </c>
      <c r="V226" s="2">
        <f>IFERROR(ROUND(U226,0),"null")</f>
        <v>92</v>
      </c>
      <c r="W226" s="2" t="str">
        <f>IF(AND(A226=A227,V226=100,V227=100),"full access","")</f>
        <v/>
      </c>
      <c r="X226" s="2">
        <f>IFERROR(IF(A227=A226,((U226-U227)/(C226-C227)),""),"null")</f>
        <v>1.0028964480000013</v>
      </c>
      <c r="Y226" s="2">
        <v>0.79360784900000003</v>
      </c>
      <c r="Z226" s="2">
        <v>6.1981767950000002</v>
      </c>
      <c r="AA226" s="2">
        <v>0.95843537109999999</v>
      </c>
      <c r="AB226" s="2">
        <f>IFERROR(IF(A227=A226, Q226-X226, ""), "null")</f>
        <v>0.64375812599999738</v>
      </c>
    </row>
    <row r="227" spans="1:28">
      <c r="A227" s="2" t="s">
        <v>164</v>
      </c>
      <c r="B227" s="2" t="str">
        <f>VLOOKUP(A227,Regions!A:B,2,0)</f>
        <v>East Asia &amp; Pacific</v>
      </c>
      <c r="C227" s="2">
        <v>2020</v>
      </c>
      <c r="D227" s="2" t="str">
        <f>IF(A228=A227,ABS(C228-C227),"")</f>
        <v/>
      </c>
      <c r="E227" s="2" t="str">
        <f>IFERROR(IF(A228=A227,((H227-H228)/(C227-C228)), ""), "null")</f>
        <v/>
      </c>
      <c r="F227" s="2">
        <v>7275.5561520000001</v>
      </c>
      <c r="G227" s="2">
        <v>36.290000919999997</v>
      </c>
      <c r="H227" s="2">
        <v>85.219743179999995</v>
      </c>
      <c r="I227" s="2">
        <f>IFERROR(ROUND(H227,0),"null")</f>
        <v>85</v>
      </c>
      <c r="J227" s="2" t="str">
        <f>IF(AND(A228=A227,I227=100,I228=100),"full access", " ")</f>
        <v xml:space="preserve"> </v>
      </c>
      <c r="K227" s="2">
        <v>3.566857739</v>
      </c>
      <c r="L227" s="2">
        <v>10.62886799</v>
      </c>
      <c r="M227" s="2">
        <v>0.58453109380000001</v>
      </c>
      <c r="N227" s="2">
        <v>78.472959419999995</v>
      </c>
      <c r="O227" s="2">
        <f>IFERROR(ROUND(N227,0),"null")</f>
        <v>78</v>
      </c>
      <c r="P227" s="2" t="str">
        <f>IF(AND(A227=A228,O227=100,O228=100),"full access"," ")</f>
        <v xml:space="preserve"> </v>
      </c>
      <c r="Q227" s="2" t="str">
        <f>IFERROR(IF(A228=A227,((N227-N228)/(C227-C228)),""),"null")</f>
        <v/>
      </c>
      <c r="R227" s="2">
        <v>5.5985837859999998</v>
      </c>
      <c r="S227" s="2">
        <v>15.010969599999999</v>
      </c>
      <c r="T227" s="2">
        <v>0.91748719570000004</v>
      </c>
      <c r="U227" s="2">
        <v>97.064262220000003</v>
      </c>
      <c r="V227" s="2">
        <f>IFERROR(ROUND(U227,0),"null")</f>
        <v>97</v>
      </c>
      <c r="W227" s="2" t="str">
        <f>IF(AND(A227=A228,V227=100,V228=100),"full access","")</f>
        <v/>
      </c>
      <c r="X227" s="2" t="str">
        <f>IFERROR(IF(A228=A227,((U227-U228)/(C227-C228)),""),"null")</f>
        <v/>
      </c>
      <c r="Y227" s="2">
        <v>0</v>
      </c>
      <c r="Z227" s="2">
        <v>2.935737778</v>
      </c>
      <c r="AA227" s="2">
        <v>0</v>
      </c>
      <c r="AB227" s="2" t="str">
        <f>IFERROR(IF(A228=A227, Q227-X227, ""), "null")</f>
        <v/>
      </c>
    </row>
    <row r="228" spans="1:28">
      <c r="A228" s="2" t="s">
        <v>165</v>
      </c>
      <c r="B228" s="2" t="str">
        <f>VLOOKUP(A228,Regions!A:B,2,0)</f>
        <v>Europe &amp; Central Asia</v>
      </c>
      <c r="C228" s="2">
        <v>2015</v>
      </c>
      <c r="D228" s="2">
        <f>IF(A229=A228,ABS(C229-C228),"")</f>
        <v>5</v>
      </c>
      <c r="E228" s="2">
        <f>IFERROR(IF(A229=A228,((H228-H229)/(C228-C229)), ""), "null")</f>
        <v>5.14967740000003E-2</v>
      </c>
      <c r="F228" s="2">
        <v>1997.6750489999999</v>
      </c>
      <c r="G228" s="2">
        <v>67.979995729999999</v>
      </c>
      <c r="H228" s="2">
        <v>98.525117280000003</v>
      </c>
      <c r="I228" s="2">
        <f>IFERROR(ROUND(H228,0),"null")</f>
        <v>99</v>
      </c>
      <c r="J228" s="2" t="str">
        <f>IF(AND(A229=A228,I228=100,I229=100),"full access", " ")</f>
        <v xml:space="preserve"> </v>
      </c>
      <c r="K228" s="2">
        <v>0.67870742309999998</v>
      </c>
      <c r="L228" s="2">
        <v>0.79617529310000001</v>
      </c>
      <c r="M228" s="2">
        <v>0</v>
      </c>
      <c r="N228" s="2">
        <v>97.854719009999997</v>
      </c>
      <c r="O228" s="2">
        <f>IFERROR(ROUND(N228,0),"null")</f>
        <v>98</v>
      </c>
      <c r="P228" s="2" t="str">
        <f>IF(AND(A228=A229,O228=100,O229=100),"full access"," ")</f>
        <v xml:space="preserve"> </v>
      </c>
      <c r="Q228" s="2">
        <f>IFERROR(IF(A229=A228,((N228-N229)/(C228-C229)),""),"null")</f>
        <v>0.14490082599999993</v>
      </c>
      <c r="R228" s="2">
        <v>0</v>
      </c>
      <c r="S228" s="2">
        <v>2.145280992</v>
      </c>
      <c r="T228" s="2">
        <v>0</v>
      </c>
      <c r="U228" s="2">
        <v>98.840893339999994</v>
      </c>
      <c r="V228" s="2">
        <f>IFERROR(ROUND(U228,0),"null")</f>
        <v>99</v>
      </c>
      <c r="W228" s="2" t="str">
        <f>IF(AND(A228=A229,V228=100,V229=100),"full access","")</f>
        <v/>
      </c>
      <c r="X228" s="2">
        <f>IFERROR(IF(A229=A228,((U228-U229)/(C228-C229)),""),"null")</f>
        <v>7.206270000000359E-3</v>
      </c>
      <c r="Y228" s="2">
        <v>0.99839286199999999</v>
      </c>
      <c r="Z228" s="2">
        <v>0.1607138001</v>
      </c>
      <c r="AA228" s="2">
        <v>0</v>
      </c>
      <c r="AB228" s="2">
        <f>IFERROR(IF(A229=A228, Q228-X228, ""), "null")</f>
        <v>0.13769455599999958</v>
      </c>
    </row>
    <row r="229" spans="1:28">
      <c r="A229" s="2" t="s">
        <v>165</v>
      </c>
      <c r="B229" s="2" t="str">
        <f>VLOOKUP(A229,Regions!A:B,2,0)</f>
        <v>Europe &amp; Central Asia</v>
      </c>
      <c r="C229" s="2">
        <v>2020</v>
      </c>
      <c r="D229" s="2" t="str">
        <f>IF(A230=A229,ABS(C230-C229),"")</f>
        <v/>
      </c>
      <c r="E229" s="2" t="str">
        <f>IFERROR(IF(A230=A229,((H229-H230)/(C229-C230)), ""), "null")</f>
        <v/>
      </c>
      <c r="F229" s="2">
        <v>1886.2020259999999</v>
      </c>
      <c r="G229" s="2">
        <v>68.315002440000001</v>
      </c>
      <c r="H229" s="2">
        <v>98.782601150000005</v>
      </c>
      <c r="I229" s="2">
        <f>IFERROR(ROUND(H229,0),"null")</f>
        <v>99</v>
      </c>
      <c r="J229" s="2" t="str">
        <f>IF(AND(A230=A229,I229=100,I230=100),"full access", " ")</f>
        <v xml:space="preserve"> </v>
      </c>
      <c r="K229" s="2">
        <v>0.68230074240000005</v>
      </c>
      <c r="L229" s="2">
        <v>0.53509810369999999</v>
      </c>
      <c r="M229" s="2">
        <v>0</v>
      </c>
      <c r="N229" s="2">
        <v>98.579223139999996</v>
      </c>
      <c r="O229" s="2">
        <f>IFERROR(ROUND(N229,0),"null")</f>
        <v>99</v>
      </c>
      <c r="P229" s="2" t="str">
        <f>IF(AND(A229=A230,O229=100,O230=100),"full access"," ")</f>
        <v xml:space="preserve"> </v>
      </c>
      <c r="Q229" s="2" t="str">
        <f>IFERROR(IF(A230=A229,((N229-N230)/(C229-C230)),""),"null")</f>
        <v/>
      </c>
      <c r="R229" s="2">
        <v>0</v>
      </c>
      <c r="S229" s="2">
        <v>1.4207768599999999</v>
      </c>
      <c r="T229" s="2">
        <v>0</v>
      </c>
      <c r="U229" s="2">
        <v>98.876924689999996</v>
      </c>
      <c r="V229" s="2">
        <f>IFERROR(ROUND(U229,0),"null")</f>
        <v>99</v>
      </c>
      <c r="W229" s="2" t="str">
        <f>IF(AND(A229=A230,V229=100,V230=100),"full access","")</f>
        <v/>
      </c>
      <c r="X229" s="2" t="str">
        <f>IFERROR(IF(A230=A229,((U229-U230)/(C229-C230)),""),"null")</f>
        <v/>
      </c>
      <c r="Y229" s="2">
        <v>0.99875681510000003</v>
      </c>
      <c r="Z229" s="2">
        <v>0.1243184908</v>
      </c>
      <c r="AA229" s="2">
        <v>0</v>
      </c>
      <c r="AB229" s="2" t="str">
        <f>IFERROR(IF(A230=A229, Q229-X229, ""), "null")</f>
        <v/>
      </c>
    </row>
    <row r="230" spans="1:28">
      <c r="A230" s="2" t="s">
        <v>166</v>
      </c>
      <c r="B230" s="2" t="str">
        <f>VLOOKUP(A230,Regions!A:B,2,0)</f>
        <v>Middle East &amp; North Africa</v>
      </c>
      <c r="C230" s="2">
        <v>2015</v>
      </c>
      <c r="D230" s="2">
        <f>IF(A231=A230,ABS(C231-C230),"")</f>
        <v>5</v>
      </c>
      <c r="E230" s="2">
        <f>IFERROR(IF(A231=A230,((H230-H231)/(C230-C231)), ""), "null")</f>
        <v>0.2751354980000002</v>
      </c>
      <c r="F230" s="2">
        <v>6532.6811520000001</v>
      </c>
      <c r="G230" s="2">
        <v>88.106002810000007</v>
      </c>
      <c r="H230" s="2">
        <v>91.224322509999993</v>
      </c>
      <c r="I230" s="2">
        <f>IFERROR(ROUND(H230,0),"null")</f>
        <v>91</v>
      </c>
      <c r="J230" s="2" t="str">
        <f>IF(AND(A231=A230,I230=100,I231=100),"full access", " ")</f>
        <v xml:space="preserve"> </v>
      </c>
      <c r="K230" s="2">
        <v>7.2900646499999997</v>
      </c>
      <c r="L230" s="2">
        <v>1.3401928400000001</v>
      </c>
      <c r="M230" s="2">
        <v>0.14541999999999999</v>
      </c>
      <c r="N230" s="2" t="s">
        <v>45</v>
      </c>
      <c r="O230" s="2" t="str">
        <f>IFERROR(ROUND(N230,0),"null")</f>
        <v>null</v>
      </c>
      <c r="P230" s="2" t="str">
        <f>IF(AND(A230=A231,O230=100,O231=100),"full access"," ")</f>
        <v xml:space="preserve"> </v>
      </c>
      <c r="Q230" s="2" t="str">
        <f>IFERROR(IF(A231=A230,((N230-N231)/(C230-C231)),""),"null")</f>
        <v>null</v>
      </c>
      <c r="R230" s="2" t="s">
        <v>45</v>
      </c>
      <c r="S230" s="2" t="s">
        <v>45</v>
      </c>
      <c r="T230" s="2" t="s">
        <v>45</v>
      </c>
      <c r="U230" s="2" t="s">
        <v>45</v>
      </c>
      <c r="V230" s="2" t="str">
        <f>IFERROR(ROUND(U230,0),"null")</f>
        <v>null</v>
      </c>
      <c r="W230" s="2" t="str">
        <f>IF(AND(A230=A231,V230=100,V231=100),"full access","")</f>
        <v/>
      </c>
      <c r="X230" s="2" t="str">
        <f>IFERROR(IF(A231=A230,((U230-U231)/(C230-C231)),""),"null")</f>
        <v>null</v>
      </c>
      <c r="Y230" s="2" t="s">
        <v>45</v>
      </c>
      <c r="Z230" s="2" t="s">
        <v>45</v>
      </c>
      <c r="AA230" s="2" t="s">
        <v>45</v>
      </c>
      <c r="AB230" s="2" t="str">
        <f>IFERROR(IF(A231=A230, Q230-X230, ""), "null")</f>
        <v>null</v>
      </c>
    </row>
    <row r="231" spans="1:28">
      <c r="A231" s="2" t="s">
        <v>166</v>
      </c>
      <c r="B231" s="2" t="str">
        <f>VLOOKUP(A231,Regions!A:B,2,0)</f>
        <v>Middle East &amp; North Africa</v>
      </c>
      <c r="C231" s="2">
        <v>2020</v>
      </c>
      <c r="D231" s="2" t="str">
        <f>IF(A232=A231,ABS(C232-C231),"")</f>
        <v/>
      </c>
      <c r="E231" s="2" t="str">
        <f>IFERROR(IF(A232=A231,((H231-H232)/(C231-C232)), ""), "null")</f>
        <v/>
      </c>
      <c r="F231" s="2">
        <v>6825.4418949999999</v>
      </c>
      <c r="G231" s="2">
        <v>88.924995420000002</v>
      </c>
      <c r="H231" s="2">
        <v>92.6</v>
      </c>
      <c r="I231" s="2">
        <f>IFERROR(ROUND(H231,0),"null")</f>
        <v>93</v>
      </c>
      <c r="J231" s="2" t="str">
        <f>IF(AND(A232=A231,I231=100,I232=100),"full access", " ")</f>
        <v xml:space="preserve"> </v>
      </c>
      <c r="K231" s="2">
        <v>7.4</v>
      </c>
      <c r="L231" s="2">
        <v>0</v>
      </c>
      <c r="M231" s="2">
        <v>0</v>
      </c>
      <c r="N231" s="2" t="s">
        <v>45</v>
      </c>
      <c r="O231" s="2" t="str">
        <f>IFERROR(ROUND(N231,0),"null")</f>
        <v>null</v>
      </c>
      <c r="P231" s="2" t="str">
        <f>IF(AND(A231=A232,O231=100,O232=100),"full access"," ")</f>
        <v xml:space="preserve"> </v>
      </c>
      <c r="Q231" s="2" t="str">
        <f>IFERROR(IF(A232=A231,((N231-N232)/(C231-C232)),""),"null")</f>
        <v/>
      </c>
      <c r="R231" s="2" t="s">
        <v>45</v>
      </c>
      <c r="S231" s="2" t="s">
        <v>45</v>
      </c>
      <c r="T231" s="2" t="s">
        <v>45</v>
      </c>
      <c r="U231" s="2" t="s">
        <v>45</v>
      </c>
      <c r="V231" s="2" t="str">
        <f>IFERROR(ROUND(U231,0),"null")</f>
        <v>null</v>
      </c>
      <c r="W231" s="2" t="str">
        <f>IF(AND(A231=A232,V231=100,V232=100),"full access","")</f>
        <v/>
      </c>
      <c r="X231" s="2" t="str">
        <f>IFERROR(IF(A232=A231,((U231-U232)/(C231-C232)),""),"null")</f>
        <v/>
      </c>
      <c r="Y231" s="2" t="s">
        <v>45</v>
      </c>
      <c r="Z231" s="2" t="s">
        <v>45</v>
      </c>
      <c r="AA231" s="2" t="s">
        <v>45</v>
      </c>
      <c r="AB231" s="2" t="str">
        <f>IFERROR(IF(A232=A231, Q231-X231, ""), "null")</f>
        <v/>
      </c>
    </row>
    <row r="232" spans="1:28">
      <c r="A232" s="2" t="s">
        <v>167</v>
      </c>
      <c r="B232" s="2" t="str">
        <f>VLOOKUP(A232,Regions!A:B,2,0)</f>
        <v>Sub-Saharan Africa</v>
      </c>
      <c r="C232" s="2">
        <v>2015</v>
      </c>
      <c r="D232" s="2">
        <f>IF(A233=A232,ABS(C233-C232),"")</f>
        <v>5</v>
      </c>
      <c r="E232" s="2">
        <f>IFERROR(IF(A233=A232,((H232-H233)/(C232-C233)), ""), "null")</f>
        <v>0.32606997400000071</v>
      </c>
      <c r="F232" s="2">
        <v>2059.0109859999998</v>
      </c>
      <c r="G232" s="2">
        <v>26.908000950000002</v>
      </c>
      <c r="H232" s="2">
        <v>70.545689400000001</v>
      </c>
      <c r="I232" s="2">
        <f>IFERROR(ROUND(H232,0),"null")</f>
        <v>71</v>
      </c>
      <c r="J232" s="2" t="str">
        <f>IF(AND(A233=A232,I232=100,I233=100),"full access", " ")</f>
        <v xml:space="preserve"> </v>
      </c>
      <c r="K232" s="2">
        <v>10.86331049</v>
      </c>
      <c r="L232" s="2">
        <v>14.534382900000001</v>
      </c>
      <c r="M232" s="2">
        <v>4.0566172079999996</v>
      </c>
      <c r="N232" s="2">
        <v>63.420883150000002</v>
      </c>
      <c r="O232" s="2">
        <f>IFERROR(ROUND(N232,0),"null")</f>
        <v>63</v>
      </c>
      <c r="P232" s="2" t="str">
        <f>IF(AND(A232=A233,O232=100,O233=100),"full access"," ")</f>
        <v xml:space="preserve"> </v>
      </c>
      <c r="Q232" s="2">
        <f>IFERROR(IF(A233=A232,((N232-N233)/(C232-C233)),""),"null")</f>
        <v>4.5894333999999051E-2</v>
      </c>
      <c r="R232" s="2">
        <v>13.04933941</v>
      </c>
      <c r="S232" s="2">
        <v>18.164904929999999</v>
      </c>
      <c r="T232" s="2">
        <v>5.3648725109999997</v>
      </c>
      <c r="U232" s="2">
        <v>89.899276139999998</v>
      </c>
      <c r="V232" s="2">
        <f>IFERROR(ROUND(U232,0),"null")</f>
        <v>90</v>
      </c>
      <c r="W232" s="2" t="str">
        <f>IF(AND(A232=A233,V232=100,V233=100),"full access","")</f>
        <v/>
      </c>
      <c r="X232" s="2">
        <f>IFERROR(IF(A233=A232,((U232-U233)/(C232-C233)),""),"null")</f>
        <v>0.62432648200000074</v>
      </c>
      <c r="Y232" s="2">
        <v>4.9252542349999997</v>
      </c>
      <c r="Z232" s="2">
        <v>4.6725536160000001</v>
      </c>
      <c r="AA232" s="2">
        <v>0.50291600700000005</v>
      </c>
      <c r="AB232" s="2">
        <f>IFERROR(IF(A233=A232, Q232-X232, ""), "null")</f>
        <v>-0.57843214800000164</v>
      </c>
    </row>
    <row r="233" spans="1:28">
      <c r="A233" s="2" t="s">
        <v>167</v>
      </c>
      <c r="B233" s="2" t="str">
        <f>VLOOKUP(A233,Regions!A:B,2,0)</f>
        <v>Sub-Saharan Africa</v>
      </c>
      <c r="C233" s="2">
        <v>2020</v>
      </c>
      <c r="D233" s="2" t="str">
        <f>IF(A234=A233,ABS(C234-C233),"")</f>
        <v/>
      </c>
      <c r="E233" s="2" t="str">
        <f>IFERROR(IF(A234=A233,((H233-H234)/(C233-C234)), ""), "null")</f>
        <v/>
      </c>
      <c r="F233" s="2">
        <v>2142.251953</v>
      </c>
      <c r="G233" s="2">
        <v>29.027999879999999</v>
      </c>
      <c r="H233" s="2">
        <v>72.176039270000004</v>
      </c>
      <c r="I233" s="2">
        <f>IFERROR(ROUND(H233,0),"null")</f>
        <v>72</v>
      </c>
      <c r="J233" s="2" t="str">
        <f>IF(AND(A234=A233,I233=100,I234=100),"full access", " ")</f>
        <v xml:space="preserve"> </v>
      </c>
      <c r="K233" s="2">
        <v>10.40592597</v>
      </c>
      <c r="L233" s="2">
        <v>12.21725464</v>
      </c>
      <c r="M233" s="2">
        <v>5.2007801159999998</v>
      </c>
      <c r="N233" s="2">
        <v>63.650354819999997</v>
      </c>
      <c r="O233" s="2">
        <f>IFERROR(ROUND(N233,0),"null")</f>
        <v>64</v>
      </c>
      <c r="P233" s="2" t="str">
        <f>IF(AND(A233=A234,O233=100,O234=100),"full access"," ")</f>
        <v xml:space="preserve"> </v>
      </c>
      <c r="Q233" s="2" t="str">
        <f>IFERROR(IF(A234=A233,((N233-N234)/(C233-C234)),""),"null")</f>
        <v/>
      </c>
      <c r="R233" s="2">
        <v>13.55843013</v>
      </c>
      <c r="S233" s="2">
        <v>15.73132479</v>
      </c>
      <c r="T233" s="2">
        <v>7.0598902539999999</v>
      </c>
      <c r="U233" s="2">
        <v>93.020908550000001</v>
      </c>
      <c r="V233" s="2">
        <f>IFERROR(ROUND(U233,0),"null")</f>
        <v>93</v>
      </c>
      <c r="W233" s="2" t="str">
        <f>IF(AND(A233=A234,V233=100,V234=100),"full access","")</f>
        <v/>
      </c>
      <c r="X233" s="2" t="str">
        <f>IFERROR(IF(A234=A233,((U233-U234)/(C233-C234)),""),"null")</f>
        <v/>
      </c>
      <c r="Y233" s="2">
        <v>2.698211997</v>
      </c>
      <c r="Z233" s="2">
        <v>3.625530038</v>
      </c>
      <c r="AA233" s="2">
        <v>0.65534941999999996</v>
      </c>
      <c r="AB233" s="2" t="str">
        <f>IFERROR(IF(A234=A233, Q233-X233, ""), "null")</f>
        <v/>
      </c>
    </row>
    <row r="234" spans="1:28">
      <c r="A234" s="2" t="s">
        <v>168</v>
      </c>
      <c r="B234" s="2" t="str">
        <f>VLOOKUP(A234,Regions!A:B,2,0)</f>
        <v>Sub-Saharan Africa</v>
      </c>
      <c r="C234" s="2">
        <v>2015</v>
      </c>
      <c r="D234" s="2">
        <f>IF(A235=A234,ABS(C235-C234),"")</f>
        <v>5</v>
      </c>
      <c r="E234" s="2">
        <f>IFERROR(IF(A235=A234,((H234-H235)/(C234-C235)), ""), "null")</f>
        <v>0.53839992999999997</v>
      </c>
      <c r="F234" s="2">
        <v>4472.2290039999998</v>
      </c>
      <c r="G234" s="2">
        <v>49.819999690000003</v>
      </c>
      <c r="H234" s="2">
        <v>72.569791940000002</v>
      </c>
      <c r="I234" s="2">
        <f>IFERROR(ROUND(H234,0),"null")</f>
        <v>73</v>
      </c>
      <c r="J234" s="2" t="str">
        <f>IF(AND(A235=A234,I234=100,I235=100),"full access", " ")</f>
        <v xml:space="preserve"> </v>
      </c>
      <c r="K234" s="2">
        <v>7.3644226789999996</v>
      </c>
      <c r="L234" s="2">
        <v>6.5372338440000002</v>
      </c>
      <c r="M234" s="2">
        <v>13.52855154</v>
      </c>
      <c r="N234" s="2">
        <v>61.263181959999997</v>
      </c>
      <c r="O234" s="2">
        <f>IFERROR(ROUND(N234,0),"null")</f>
        <v>61</v>
      </c>
      <c r="P234" s="2" t="str">
        <f>IF(AND(A234=A235,O234=100,O235=100),"full access"," ")</f>
        <v xml:space="preserve"> </v>
      </c>
      <c r="Q234" s="2">
        <f>IFERROR(IF(A235=A234,((N234-N235)/(C234-C235)),""),"null")</f>
        <v>0.56740698600000028</v>
      </c>
      <c r="R234" s="2">
        <v>5.1260422940000003</v>
      </c>
      <c r="S234" s="2">
        <v>7.5241487850000004</v>
      </c>
      <c r="T234" s="2">
        <v>26.08662696</v>
      </c>
      <c r="U234" s="2">
        <v>83.95810401</v>
      </c>
      <c r="V234" s="2">
        <f>IFERROR(ROUND(U234,0),"null")</f>
        <v>84</v>
      </c>
      <c r="W234" s="2" t="str">
        <f>IF(AND(A234=A235,V234=100,V235=100),"full access","")</f>
        <v/>
      </c>
      <c r="X234" s="2">
        <f>IFERROR(IF(A235=A234,((U234-U235)/(C234-C235)),""),"null")</f>
        <v>0.31400112400000069</v>
      </c>
      <c r="Y234" s="2">
        <v>9.6189777050000007</v>
      </c>
      <c r="Z234" s="2">
        <v>5.5431874099999998</v>
      </c>
      <c r="AA234" s="2">
        <v>0.87973087640000003</v>
      </c>
      <c r="AB234" s="2">
        <f>IFERROR(IF(A235=A234, Q234-X234, ""), "null")</f>
        <v>0.25340586199999959</v>
      </c>
    </row>
    <row r="235" spans="1:28">
      <c r="A235" s="2" t="s">
        <v>168</v>
      </c>
      <c r="B235" s="2" t="str">
        <f>VLOOKUP(A235,Regions!A:B,2,0)</f>
        <v>Sub-Saharan Africa</v>
      </c>
      <c r="C235" s="2">
        <v>2020</v>
      </c>
      <c r="D235" s="2" t="str">
        <f>IF(A236=A235,ABS(C236-C235),"")</f>
        <v/>
      </c>
      <c r="E235" s="2" t="str">
        <f>IFERROR(IF(A236=A235,((H235-H236)/(C235-C236)), ""), "null")</f>
        <v/>
      </c>
      <c r="F235" s="2">
        <v>5057.6767579999996</v>
      </c>
      <c r="G235" s="2">
        <v>52.088996889999997</v>
      </c>
      <c r="H235" s="2">
        <v>75.261791590000001</v>
      </c>
      <c r="I235" s="2">
        <f>IFERROR(ROUND(H235,0),"null")</f>
        <v>75</v>
      </c>
      <c r="J235" s="2" t="str">
        <f>IF(AND(A236=A235,I235=100,I236=100),"full access", " ")</f>
        <v xml:space="preserve"> </v>
      </c>
      <c r="K235" s="2">
        <v>8.7006574749999999</v>
      </c>
      <c r="L235" s="2">
        <v>3.488080869</v>
      </c>
      <c r="M235" s="2">
        <v>12.549470060000001</v>
      </c>
      <c r="N235" s="2">
        <v>64.100216889999999</v>
      </c>
      <c r="O235" s="2">
        <f>IFERROR(ROUND(N235,0),"null")</f>
        <v>64</v>
      </c>
      <c r="P235" s="2" t="str">
        <f>IF(AND(A235=A236,O235=100,O236=100),"full access"," ")</f>
        <v xml:space="preserve"> </v>
      </c>
      <c r="Q235" s="2" t="str">
        <f>IFERROR(IF(A236=A235,((N235-N236)/(C235-C236)),""),"null")</f>
        <v/>
      </c>
      <c r="R235" s="2">
        <v>6.5377757970000001</v>
      </c>
      <c r="S235" s="2">
        <v>3.3837098750000001</v>
      </c>
      <c r="T235" s="2">
        <v>25.978297439999999</v>
      </c>
      <c r="U235" s="2">
        <v>85.528109630000003</v>
      </c>
      <c r="V235" s="2">
        <f>IFERROR(ROUND(U235,0),"null")</f>
        <v>86</v>
      </c>
      <c r="W235" s="2" t="str">
        <f>IF(AND(A235=A236,V235=100,V236=100),"full access","")</f>
        <v/>
      </c>
      <c r="X235" s="2" t="str">
        <f>IFERROR(IF(A236=A235,((U235-U236)/(C235-C236)),""),"null")</f>
        <v/>
      </c>
      <c r="Y235" s="2">
        <v>10.69005698</v>
      </c>
      <c r="Z235" s="2">
        <v>3.58408039</v>
      </c>
      <c r="AA235" s="2">
        <v>0.19775300060000001</v>
      </c>
      <c r="AB235" s="2" t="str">
        <f>IFERROR(IF(A236=A235, Q235-X235, ""), "null")</f>
        <v/>
      </c>
    </row>
    <row r="236" spans="1:28">
      <c r="A236" s="2" t="s">
        <v>169</v>
      </c>
      <c r="B236" s="2" t="str">
        <f>VLOOKUP(A236,Regions!A:B,2,0)</f>
        <v>Sub-Saharan Africa</v>
      </c>
      <c r="C236" s="2">
        <v>2015</v>
      </c>
      <c r="D236" s="2">
        <f>IF(A237=A236,ABS(C237-C236),"")</f>
        <v>5</v>
      </c>
      <c r="E236" s="2">
        <f>IFERROR(IF(A237=A236,((H236-H237)/(C236-C237)), ""), "null")</f>
        <v>0.52198172800000009</v>
      </c>
      <c r="F236" s="2">
        <v>6418.3149409999996</v>
      </c>
      <c r="G236" s="2">
        <v>79.270004270000001</v>
      </c>
      <c r="H236" s="2">
        <v>97.281615160000001</v>
      </c>
      <c r="I236" s="2">
        <f>IFERROR(ROUND(H236,0),"null")</f>
        <v>97</v>
      </c>
      <c r="J236" s="2" t="str">
        <f>IF(AND(A237=A236,I236=100,I237=100),"full access", " ")</f>
        <v xml:space="preserve"> </v>
      </c>
      <c r="K236" s="2">
        <v>0</v>
      </c>
      <c r="L236" s="2">
        <v>2.7183848410000002</v>
      </c>
      <c r="M236" s="2">
        <v>0</v>
      </c>
      <c r="N236" s="2" t="s">
        <v>45</v>
      </c>
      <c r="O236" s="2" t="str">
        <f>IFERROR(ROUND(N236,0),"null")</f>
        <v>null</v>
      </c>
      <c r="P236" s="2" t="str">
        <f>IF(AND(A236=A237,O236=100,O237=100),"full access"," ")</f>
        <v xml:space="preserve"> </v>
      </c>
      <c r="Q236" s="2" t="str">
        <f>IFERROR(IF(A237=A236,((N236-N237)/(C236-C237)),""),"null")</f>
        <v>null</v>
      </c>
      <c r="R236" s="2" t="s">
        <v>45</v>
      </c>
      <c r="S236" s="2" t="s">
        <v>45</v>
      </c>
      <c r="T236" s="2" t="s">
        <v>45</v>
      </c>
      <c r="U236" s="2" t="s">
        <v>45</v>
      </c>
      <c r="V236" s="2" t="str">
        <f>IFERROR(ROUND(U236,0),"null")</f>
        <v>null</v>
      </c>
      <c r="W236" s="2" t="str">
        <f>IF(AND(A236=A237,V236=100,V237=100),"full access","")</f>
        <v/>
      </c>
      <c r="X236" s="2" t="str">
        <f>IFERROR(IF(A237=A236,((U236-U237)/(C236-C237)),""),"null")</f>
        <v>null</v>
      </c>
      <c r="Y236" s="2" t="s">
        <v>45</v>
      </c>
      <c r="Z236" s="2" t="s">
        <v>45</v>
      </c>
      <c r="AA236" s="2" t="s">
        <v>45</v>
      </c>
      <c r="AB236" s="2" t="str">
        <f>IFERROR(IF(A237=A236, Q236-X236, ""), "null")</f>
        <v>null</v>
      </c>
    </row>
    <row r="237" spans="1:28">
      <c r="A237" s="2" t="s">
        <v>169</v>
      </c>
      <c r="B237" s="2" t="str">
        <f>VLOOKUP(A237,Regions!A:B,2,0)</f>
        <v>Sub-Saharan Africa</v>
      </c>
      <c r="C237" s="2">
        <v>2020</v>
      </c>
      <c r="D237" s="2" t="str">
        <f>IF(A238=A237,ABS(C238-C237),"")</f>
        <v/>
      </c>
      <c r="E237" s="2" t="str">
        <f>IFERROR(IF(A238=A237,((H237-H238)/(C237-C238)), ""), "null")</f>
        <v/>
      </c>
      <c r="F237" s="2">
        <v>6871.2871089999999</v>
      </c>
      <c r="G237" s="2">
        <v>80.691001889999995</v>
      </c>
      <c r="H237" s="2">
        <v>99.891523800000002</v>
      </c>
      <c r="I237" s="2">
        <f>IFERROR(ROUND(H237,0),"null")</f>
        <v>100</v>
      </c>
      <c r="J237" s="2" t="str">
        <f>IF(AND(A238=A237,I237=100,I238=100),"full access", " ")</f>
        <v xml:space="preserve"> </v>
      </c>
      <c r="K237" s="2">
        <v>0</v>
      </c>
      <c r="L237" s="2">
        <v>0.1084762012</v>
      </c>
      <c r="M237" s="2">
        <v>0</v>
      </c>
      <c r="N237" s="2" t="s">
        <v>45</v>
      </c>
      <c r="O237" s="2" t="str">
        <f>IFERROR(ROUND(N237,0),"null")</f>
        <v>null</v>
      </c>
      <c r="P237" s="2" t="str">
        <f>IF(AND(A237=A238,O237=100,O238=100),"full access"," ")</f>
        <v xml:space="preserve"> </v>
      </c>
      <c r="Q237" s="2" t="str">
        <f>IFERROR(IF(A238=A237,((N237-N238)/(C237-C238)),""),"null")</f>
        <v/>
      </c>
      <c r="R237" s="2" t="s">
        <v>45</v>
      </c>
      <c r="S237" s="2" t="s">
        <v>45</v>
      </c>
      <c r="T237" s="2" t="s">
        <v>45</v>
      </c>
      <c r="U237" s="2" t="s">
        <v>45</v>
      </c>
      <c r="V237" s="2" t="str">
        <f>IFERROR(ROUND(U237,0),"null")</f>
        <v>null</v>
      </c>
      <c r="W237" s="2" t="str">
        <f>IF(AND(A237=A238,V237=100,V238=100),"full access","")</f>
        <v/>
      </c>
      <c r="X237" s="2" t="str">
        <f>IFERROR(IF(A238=A237,((U237-U238)/(C237-C238)),""),"null")</f>
        <v/>
      </c>
      <c r="Y237" s="2" t="s">
        <v>45</v>
      </c>
      <c r="Z237" s="2" t="s">
        <v>45</v>
      </c>
      <c r="AA237" s="2" t="s">
        <v>45</v>
      </c>
      <c r="AB237" s="2" t="str">
        <f>IFERROR(IF(A238=A237, Q237-X237, ""), "null")</f>
        <v/>
      </c>
    </row>
    <row r="238" spans="1:28">
      <c r="A238" s="2" t="s">
        <v>170</v>
      </c>
      <c r="B238" s="2" t="str">
        <f>VLOOKUP(A238,Regions!A:B,2,0)</f>
        <v>Europe &amp; Central Asia</v>
      </c>
      <c r="C238" s="2">
        <v>2015</v>
      </c>
      <c r="D238" s="2">
        <f>IF(A239=A238,ABS(C239-C238),"")</f>
        <v>5</v>
      </c>
      <c r="E238" s="2">
        <f>IFERROR(IF(A239=A238,((H238-H239)/(C238-C239)), ""), "null")</f>
        <v>0</v>
      </c>
      <c r="F238" s="2">
        <v>37.465000150000002</v>
      </c>
      <c r="G238" s="2">
        <v>14.303000450000001</v>
      </c>
      <c r="H238" s="2">
        <v>100</v>
      </c>
      <c r="I238" s="2">
        <f>IFERROR(ROUND(H238,0),"null")</f>
        <v>100</v>
      </c>
      <c r="J238" s="2" t="str">
        <f>IF(AND(A239=A238,I238=100,I239=100),"full access", " ")</f>
        <v>full access</v>
      </c>
      <c r="K238" s="2">
        <v>0</v>
      </c>
      <c r="L238" s="2">
        <v>0</v>
      </c>
      <c r="M238" s="2">
        <v>0</v>
      </c>
      <c r="N238" s="2" t="s">
        <v>45</v>
      </c>
      <c r="O238" s="2" t="str">
        <f>IFERROR(ROUND(N238,0),"null")</f>
        <v>null</v>
      </c>
      <c r="P238" s="2" t="str">
        <f>IF(AND(A238=A239,O238=100,O239=100),"full access"," ")</f>
        <v xml:space="preserve"> </v>
      </c>
      <c r="Q238" s="2" t="str">
        <f>IFERROR(IF(A239=A238,((N238-N239)/(C238-C239)),""),"null")</f>
        <v>null</v>
      </c>
      <c r="R238" s="2" t="s">
        <v>45</v>
      </c>
      <c r="S238" s="2" t="s">
        <v>45</v>
      </c>
      <c r="T238" s="2" t="s">
        <v>45</v>
      </c>
      <c r="U238" s="2" t="s">
        <v>45</v>
      </c>
      <c r="V238" s="2" t="str">
        <f>IFERROR(ROUND(U238,0),"null")</f>
        <v>null</v>
      </c>
      <c r="W238" s="2" t="str">
        <f>IF(AND(A238=A239,V238=100,V239=100),"full access","")</f>
        <v/>
      </c>
      <c r="X238" s="2" t="str">
        <f>IFERROR(IF(A239=A238,((U238-U239)/(C238-C239)),""),"null")</f>
        <v>null</v>
      </c>
      <c r="Y238" s="2" t="s">
        <v>45</v>
      </c>
      <c r="Z238" s="2" t="s">
        <v>45</v>
      </c>
      <c r="AA238" s="2" t="s">
        <v>45</v>
      </c>
      <c r="AB238" s="2" t="str">
        <f>IFERROR(IF(A239=A238, Q238-X238, ""), "null")</f>
        <v>null</v>
      </c>
    </row>
    <row r="239" spans="1:28">
      <c r="A239" s="2" t="s">
        <v>170</v>
      </c>
      <c r="B239" s="2" t="str">
        <f>VLOOKUP(A239,Regions!A:B,2,0)</f>
        <v>Europe &amp; Central Asia</v>
      </c>
      <c r="C239" s="2">
        <v>2020</v>
      </c>
      <c r="D239" s="2" t="str">
        <f>IF(A240=A239,ABS(C240-C239),"")</f>
        <v/>
      </c>
      <c r="E239" s="2" t="str">
        <f>IFERROR(IF(A240=A239,((H239-H240)/(C239-C240)), ""), "null")</f>
        <v/>
      </c>
      <c r="F239" s="2">
        <v>38.137001040000001</v>
      </c>
      <c r="G239" s="2">
        <v>14.416000370000001</v>
      </c>
      <c r="H239" s="2">
        <v>100</v>
      </c>
      <c r="I239" s="2">
        <f>IFERROR(ROUND(H239,0),"null")</f>
        <v>100</v>
      </c>
      <c r="J239" s="2" t="str">
        <f>IF(AND(A240=A239,I239=100,I240=100),"full access", " ")</f>
        <v xml:space="preserve"> </v>
      </c>
      <c r="K239" s="2">
        <v>0</v>
      </c>
      <c r="L239" s="2">
        <v>0</v>
      </c>
      <c r="M239" s="2">
        <v>0</v>
      </c>
      <c r="N239" s="2" t="s">
        <v>45</v>
      </c>
      <c r="O239" s="2" t="str">
        <f>IFERROR(ROUND(N239,0),"null")</f>
        <v>null</v>
      </c>
      <c r="P239" s="2" t="str">
        <f>IF(AND(A239=A240,O239=100,O240=100),"full access"," ")</f>
        <v xml:space="preserve"> </v>
      </c>
      <c r="Q239" s="2" t="str">
        <f>IFERROR(IF(A240=A239,((N239-N240)/(C239-C240)),""),"null")</f>
        <v/>
      </c>
      <c r="R239" s="2" t="s">
        <v>45</v>
      </c>
      <c r="S239" s="2" t="s">
        <v>45</v>
      </c>
      <c r="T239" s="2" t="s">
        <v>45</v>
      </c>
      <c r="U239" s="2" t="s">
        <v>45</v>
      </c>
      <c r="V239" s="2" t="str">
        <f>IFERROR(ROUND(U239,0),"null")</f>
        <v>null</v>
      </c>
      <c r="W239" s="2" t="str">
        <f>IF(AND(A239=A240,V239=100,V240=100),"full access","")</f>
        <v/>
      </c>
      <c r="X239" s="2" t="str">
        <f>IFERROR(IF(A240=A239,((U239-U240)/(C239-C240)),""),"null")</f>
        <v/>
      </c>
      <c r="Y239" s="2" t="s">
        <v>45</v>
      </c>
      <c r="Z239" s="2" t="s">
        <v>45</v>
      </c>
      <c r="AA239" s="2" t="s">
        <v>45</v>
      </c>
      <c r="AB239" s="2" t="str">
        <f>IFERROR(IF(A240=A239, Q239-X239, ""), "null")</f>
        <v/>
      </c>
    </row>
    <row r="240" spans="1:28">
      <c r="A240" s="2" t="s">
        <v>171</v>
      </c>
      <c r="B240" s="2" t="str">
        <f>VLOOKUP(A240,Regions!A:B,2,0)</f>
        <v>Europe &amp; Central Asia</v>
      </c>
      <c r="C240" s="2">
        <v>2015</v>
      </c>
      <c r="D240" s="2">
        <f>IF(A241=A240,ABS(C241-C240),"")</f>
        <v>5</v>
      </c>
      <c r="E240" s="2">
        <f>IFERROR(IF(A241=A240,((H240-H241)/(C240-C241)), ""), "null")</f>
        <v>0.2818417320000009</v>
      </c>
      <c r="F240" s="2">
        <v>2931.8720699999999</v>
      </c>
      <c r="G240" s="2">
        <v>67.229995729999999</v>
      </c>
      <c r="H240" s="2">
        <v>96.604138579999997</v>
      </c>
      <c r="I240" s="2">
        <f>IFERROR(ROUND(H240,0),"null")</f>
        <v>97</v>
      </c>
      <c r="J240" s="2" t="str">
        <f>IF(AND(A241=A240,I240=100,I241=100),"full access", " ")</f>
        <v xml:space="preserve"> </v>
      </c>
      <c r="K240" s="2">
        <v>0</v>
      </c>
      <c r="L240" s="2">
        <v>3.3958614219999999</v>
      </c>
      <c r="M240" s="2">
        <v>0</v>
      </c>
      <c r="N240" s="2">
        <v>90.718484410000002</v>
      </c>
      <c r="O240" s="2">
        <f>IFERROR(ROUND(N240,0),"null")</f>
        <v>91</v>
      </c>
      <c r="P240" s="2" t="str">
        <f>IF(AND(A240=A241,O240=100,O241=100),"full access"," ")</f>
        <v xml:space="preserve"> </v>
      </c>
      <c r="Q240" s="2">
        <f>IFERROR(IF(A241=A240,((N240-N241)/(C240-C241)),""),"null")</f>
        <v>0.61285916399999962</v>
      </c>
      <c r="R240" s="2">
        <v>0</v>
      </c>
      <c r="S240" s="2">
        <v>9.2815155889999996</v>
      </c>
      <c r="T240" s="2">
        <v>0</v>
      </c>
      <c r="U240" s="2">
        <v>99.472990350000003</v>
      </c>
      <c r="V240" s="2">
        <f>IFERROR(ROUND(U240,0),"null")</f>
        <v>99</v>
      </c>
      <c r="W240" s="2" t="str">
        <f>IF(AND(A240=A241,V240=100,V241=100),"full access","")</f>
        <v/>
      </c>
      <c r="X240" s="2">
        <f>IFERROR(IF(A241=A240,((U240-U241)/(C240-C241)),""),"null")</f>
        <v>0.10540192999999931</v>
      </c>
      <c r="Y240" s="2">
        <v>0</v>
      </c>
      <c r="Z240" s="2">
        <v>0.5270096501</v>
      </c>
      <c r="AA240" s="2">
        <v>0</v>
      </c>
      <c r="AB240" s="2">
        <f>IFERROR(IF(A241=A240, Q240-X240, ""), "null")</f>
        <v>0.50745723400000031</v>
      </c>
    </row>
    <row r="241" spans="1:28">
      <c r="A241" s="2" t="s">
        <v>171</v>
      </c>
      <c r="B241" s="2" t="str">
        <f>VLOOKUP(A241,Regions!A:B,2,0)</f>
        <v>Europe &amp; Central Asia</v>
      </c>
      <c r="C241" s="2">
        <v>2020</v>
      </c>
      <c r="D241" s="2" t="str">
        <f>IF(A242=A241,ABS(C242-C241),"")</f>
        <v/>
      </c>
      <c r="E241" s="2" t="str">
        <f>IFERROR(IF(A242=A241,((H241-H242)/(C241-C242)), ""), "null")</f>
        <v/>
      </c>
      <c r="F241" s="2">
        <v>2722.2910160000001</v>
      </c>
      <c r="G241" s="2">
        <v>68.045997619999994</v>
      </c>
      <c r="H241" s="2">
        <v>98.013347240000002</v>
      </c>
      <c r="I241" s="2">
        <f>IFERROR(ROUND(H241,0),"null")</f>
        <v>98</v>
      </c>
      <c r="J241" s="2" t="str">
        <f>IF(AND(A242=A241,I241=100,I242=100),"full access", " ")</f>
        <v xml:space="preserve"> </v>
      </c>
      <c r="K241" s="2">
        <v>0</v>
      </c>
      <c r="L241" s="2">
        <v>1.9866527599999999</v>
      </c>
      <c r="M241" s="2">
        <v>0</v>
      </c>
      <c r="N241" s="2">
        <v>93.78278023</v>
      </c>
      <c r="O241" s="2">
        <f>IFERROR(ROUND(N241,0),"null")</f>
        <v>94</v>
      </c>
      <c r="P241" s="2" t="str">
        <f>IF(AND(A241=A242,O241=100,O242=100),"full access"," ")</f>
        <v xml:space="preserve"> </v>
      </c>
      <c r="Q241" s="2" t="str">
        <f>IFERROR(IF(A242=A241,((N241-N242)/(C241-C242)),""),"null")</f>
        <v/>
      </c>
      <c r="R241" s="2">
        <v>0</v>
      </c>
      <c r="S241" s="2">
        <v>6.2172197709999999</v>
      </c>
      <c r="T241" s="2">
        <v>0</v>
      </c>
      <c r="U241" s="2">
        <v>100</v>
      </c>
      <c r="V241" s="2">
        <f>IFERROR(ROUND(U241,0),"null")</f>
        <v>100</v>
      </c>
      <c r="W241" s="2" t="str">
        <f>IF(AND(A241=A242,V241=100,V242=100),"full access","")</f>
        <v/>
      </c>
      <c r="X241" s="2" t="str">
        <f>IFERROR(IF(A242=A241,((U241-U242)/(C241-C242)),""),"null")</f>
        <v/>
      </c>
      <c r="Y241" s="2">
        <v>0</v>
      </c>
      <c r="Z241" s="2">
        <v>0</v>
      </c>
      <c r="AA241" s="2">
        <v>0</v>
      </c>
      <c r="AB241" s="2" t="str">
        <f>IFERROR(IF(A242=A241, Q241-X241, ""), "null")</f>
        <v/>
      </c>
    </row>
    <row r="242" spans="1:28">
      <c r="A242" s="2" t="s">
        <v>172</v>
      </c>
      <c r="B242" s="2" t="str">
        <f>VLOOKUP(A242,Regions!A:B,2,0)</f>
        <v>Europe &amp; Central Asia</v>
      </c>
      <c r="C242" s="2">
        <v>2015</v>
      </c>
      <c r="D242" s="2">
        <f>IF(A243=A242,ABS(C243-C242),"")</f>
        <v>5</v>
      </c>
      <c r="E242" s="2">
        <f>IFERROR(IF(A243=A242,((H242-H243)/(C242-C243)), ""), "null")</f>
        <v>-9.0476240000015203E-3</v>
      </c>
      <c r="F242" s="2">
        <v>566.74102779999998</v>
      </c>
      <c r="G242" s="2">
        <v>90.179000849999994</v>
      </c>
      <c r="H242" s="2">
        <v>99.925170660000006</v>
      </c>
      <c r="I242" s="2">
        <f>IFERROR(ROUND(H242,0),"null")</f>
        <v>100</v>
      </c>
      <c r="J242" s="2" t="str">
        <f>IF(AND(A243=A242,I242=100,I243=100),"full access", " ")</f>
        <v>full access</v>
      </c>
      <c r="K242" s="2">
        <v>0</v>
      </c>
      <c r="L242" s="2">
        <v>7.4829340019999996E-2</v>
      </c>
      <c r="M242" s="2">
        <v>0</v>
      </c>
      <c r="N242" s="2">
        <v>99.238095240000007</v>
      </c>
      <c r="O242" s="2">
        <f>IFERROR(ROUND(N242,0),"null")</f>
        <v>99</v>
      </c>
      <c r="P242" s="2" t="str">
        <f>IF(AND(A242=A243,O242=100,O243=100),"full access"," ")</f>
        <v xml:space="preserve"> </v>
      </c>
      <c r="Q242" s="2">
        <f>IFERROR(IF(A243=A242,((N242-N243)/(C242-C243)),""),"null")</f>
        <v>-0.12857142800000076</v>
      </c>
      <c r="R242" s="2">
        <v>0</v>
      </c>
      <c r="S242" s="2">
        <v>0.7619047619</v>
      </c>
      <c r="T242" s="2">
        <v>0</v>
      </c>
      <c r="U242" s="2">
        <v>100</v>
      </c>
      <c r="V242" s="2">
        <f>IFERROR(ROUND(U242,0),"null")</f>
        <v>100</v>
      </c>
      <c r="W242" s="2" t="str">
        <f>IF(AND(A242=A243,V242=100,V243=100),"full access","")</f>
        <v>full access</v>
      </c>
      <c r="X242" s="2">
        <f>IFERROR(IF(A243=A242,((U242-U243)/(C242-C243)),""),"null")</f>
        <v>0</v>
      </c>
      <c r="Y242" s="2">
        <v>0</v>
      </c>
      <c r="Z242" s="2">
        <v>0</v>
      </c>
      <c r="AA242" s="2">
        <v>0</v>
      </c>
      <c r="AB242" s="2">
        <f>IFERROR(IF(A243=A242, Q242-X242, ""), "null")</f>
        <v>-0.12857142800000076</v>
      </c>
    </row>
    <row r="243" spans="1:28">
      <c r="A243" s="2" t="s">
        <v>172</v>
      </c>
      <c r="B243" s="2" t="str">
        <f>VLOOKUP(A243,Regions!A:B,2,0)</f>
        <v>Europe &amp; Central Asia</v>
      </c>
      <c r="C243" s="2">
        <v>2020</v>
      </c>
      <c r="D243" s="2" t="str">
        <f>IF(A244=A243,ABS(C244-C243),"")</f>
        <v/>
      </c>
      <c r="E243" s="2" t="str">
        <f>IFERROR(IF(A244=A243,((H243-H244)/(C243-C244)), ""), "null")</f>
        <v/>
      </c>
      <c r="F243" s="2">
        <v>625.97601320000001</v>
      </c>
      <c r="G243" s="2">
        <v>91.452995299999998</v>
      </c>
      <c r="H243" s="2">
        <v>99.879932539999999</v>
      </c>
      <c r="I243" s="2">
        <f>IFERROR(ROUND(H243,0),"null")</f>
        <v>100</v>
      </c>
      <c r="J243" s="2" t="str">
        <f>IF(AND(A244=A243,I243=100,I244=100),"full access", " ")</f>
        <v xml:space="preserve"> </v>
      </c>
      <c r="K243" s="2">
        <v>0</v>
      </c>
      <c r="L243" s="2">
        <v>0.1200674649</v>
      </c>
      <c r="M243" s="2">
        <v>0</v>
      </c>
      <c r="N243" s="2">
        <v>98.595238100000003</v>
      </c>
      <c r="O243" s="2">
        <f>IFERROR(ROUND(N243,0),"null")</f>
        <v>99</v>
      </c>
      <c r="P243" s="2" t="str">
        <f>IF(AND(A243=A244,O243=100,O244=100),"full access"," ")</f>
        <v xml:space="preserve"> </v>
      </c>
      <c r="Q243" s="2" t="str">
        <f>IFERROR(IF(A244=A243,((N243-N244)/(C243-C244)),""),"null")</f>
        <v/>
      </c>
      <c r="R243" s="2">
        <v>0</v>
      </c>
      <c r="S243" s="2">
        <v>1.404761905</v>
      </c>
      <c r="T243" s="2">
        <v>0</v>
      </c>
      <c r="U243" s="2">
        <v>100</v>
      </c>
      <c r="V243" s="2">
        <f>IFERROR(ROUND(U243,0),"null")</f>
        <v>100</v>
      </c>
      <c r="W243" s="2" t="str">
        <f>IF(AND(A243=A244,V243=100,V244=100),"full access","")</f>
        <v/>
      </c>
      <c r="X243" s="2" t="str">
        <f>IFERROR(IF(A244=A243,((U243-U244)/(C243-C244)),""),"null")</f>
        <v/>
      </c>
      <c r="Y243" s="2">
        <v>0</v>
      </c>
      <c r="Z243" s="2">
        <v>0</v>
      </c>
      <c r="AA243" s="2">
        <v>0</v>
      </c>
      <c r="AB243" s="2" t="str">
        <f>IFERROR(IF(A244=A243, Q243-X243, ""), "null")</f>
        <v/>
      </c>
    </row>
    <row r="244" spans="1:28">
      <c r="A244" s="2" t="s">
        <v>173</v>
      </c>
      <c r="B244" s="2" t="str">
        <f>VLOOKUP(A244,Regions!A:B,2,0)</f>
        <v>Sub-Saharan Africa</v>
      </c>
      <c r="C244" s="2">
        <v>2015</v>
      </c>
      <c r="D244" s="2">
        <f>IF(A245=A244,ABS(C245-C244),"")</f>
        <v>5</v>
      </c>
      <c r="E244" s="2">
        <f>IFERROR(IF(A245=A244,((H244-H245)/(C244-C245)), ""), "null")</f>
        <v>0.89882227399999981</v>
      </c>
      <c r="F244" s="2">
        <v>24234.08008</v>
      </c>
      <c r="G244" s="2">
        <v>35.192996979999997</v>
      </c>
      <c r="H244" s="2">
        <v>48.891773540000003</v>
      </c>
      <c r="I244" s="2">
        <f>IFERROR(ROUND(H244,0),"null")</f>
        <v>49</v>
      </c>
      <c r="J244" s="2" t="str">
        <f>IF(AND(A245=A244,I244=100,I245=100),"full access", " ")</f>
        <v xml:space="preserve"> </v>
      </c>
      <c r="K244" s="2">
        <v>2.6771603800000001</v>
      </c>
      <c r="L244" s="2">
        <v>30.406736510000002</v>
      </c>
      <c r="M244" s="2">
        <v>18.024329569999999</v>
      </c>
      <c r="N244" s="2">
        <v>33.144577730000002</v>
      </c>
      <c r="O244" s="2">
        <f>IFERROR(ROUND(N244,0),"null")</f>
        <v>33</v>
      </c>
      <c r="P244" s="2" t="str">
        <f>IF(AND(A244=A245,O244=100,O245=100),"full access"," ")</f>
        <v xml:space="preserve"> </v>
      </c>
      <c r="Q244" s="2">
        <f>IFERROR(IF(A245=A244,((N244-N245)/(C244-C245)),""),"null")</f>
        <v>0.6523685099999994</v>
      </c>
      <c r="R244" s="2">
        <v>1.743479446</v>
      </c>
      <c r="S244" s="2">
        <v>39.697999690000003</v>
      </c>
      <c r="T244" s="2">
        <v>25.41394313</v>
      </c>
      <c r="U244" s="2">
        <v>77.889830720000006</v>
      </c>
      <c r="V244" s="2">
        <f>IFERROR(ROUND(U244,0),"null")</f>
        <v>78</v>
      </c>
      <c r="W244" s="2" t="str">
        <f>IF(AND(A244=A245,V244=100,V245=100),"full access","")</f>
        <v/>
      </c>
      <c r="X244" s="2">
        <f>IFERROR(IF(A245=A244,((U244-U245)/(C244-C245)),""),"null")</f>
        <v>0.51603524399999967</v>
      </c>
      <c r="Y244" s="2">
        <v>4.3965098730000003</v>
      </c>
      <c r="Z244" s="2">
        <v>13.29711369</v>
      </c>
      <c r="AA244" s="2">
        <v>4.4165457190000001</v>
      </c>
      <c r="AB244" s="2">
        <f>IFERROR(IF(A245=A244, Q244-X244, ""), "null")</f>
        <v>0.13633326599999973</v>
      </c>
    </row>
    <row r="245" spans="1:28">
      <c r="A245" s="2" t="s">
        <v>173</v>
      </c>
      <c r="B245" s="2" t="str">
        <f>VLOOKUP(A245,Regions!A:B,2,0)</f>
        <v>Sub-Saharan Africa</v>
      </c>
      <c r="C245" s="2">
        <v>2020</v>
      </c>
      <c r="D245" s="2" t="str">
        <f>IF(A246=A245,ABS(C246-C245),"")</f>
        <v/>
      </c>
      <c r="E245" s="2" t="str">
        <f>IFERROR(IF(A246=A245,((H245-H246)/(C245-C246)), ""), "null")</f>
        <v/>
      </c>
      <c r="F245" s="2">
        <v>27691.019530000001</v>
      </c>
      <c r="G245" s="2">
        <v>38.534000399999996</v>
      </c>
      <c r="H245" s="2">
        <v>53.385884910000001</v>
      </c>
      <c r="I245" s="2">
        <f>IFERROR(ROUND(H245,0),"null")</f>
        <v>53</v>
      </c>
      <c r="J245" s="2" t="str">
        <f>IF(AND(A246=A245,I245=100,I246=100),"full access", " ")</f>
        <v xml:space="preserve"> </v>
      </c>
      <c r="K245" s="2">
        <v>2.7179729799999999</v>
      </c>
      <c r="L245" s="2">
        <v>32.311459669999998</v>
      </c>
      <c r="M245" s="2">
        <v>11.58468244</v>
      </c>
      <c r="N245" s="2">
        <v>36.406420279999999</v>
      </c>
      <c r="O245" s="2">
        <f>IFERROR(ROUND(N245,0),"null")</f>
        <v>36</v>
      </c>
      <c r="P245" s="2" t="str">
        <f>IF(AND(A245=A246,O245=100,O246=100),"full access"," ")</f>
        <v xml:space="preserve"> </v>
      </c>
      <c r="Q245" s="2" t="str">
        <f>IFERROR(IF(A246=A245,((N245-N246)/(C245-C246)),""),"null")</f>
        <v/>
      </c>
      <c r="R245" s="2">
        <v>1.601776163</v>
      </c>
      <c r="S245" s="2">
        <v>43.953893450000002</v>
      </c>
      <c r="T245" s="2">
        <v>18.037910109999999</v>
      </c>
      <c r="U245" s="2">
        <v>80.470006940000005</v>
      </c>
      <c r="V245" s="2">
        <f>IFERROR(ROUND(U245,0),"null")</f>
        <v>80</v>
      </c>
      <c r="W245" s="2" t="str">
        <f>IF(AND(A245=A246,V245=100,V246=100),"full access","")</f>
        <v/>
      </c>
      <c r="X245" s="2" t="str">
        <f>IFERROR(IF(A246=A245,((U245-U246)/(C245-C246)),""),"null")</f>
        <v/>
      </c>
      <c r="Y245" s="2">
        <v>4.4984302979999997</v>
      </c>
      <c r="Z245" s="2">
        <v>13.74049434</v>
      </c>
      <c r="AA245" s="2">
        <v>1.291068417</v>
      </c>
      <c r="AB245" s="2" t="str">
        <f>IFERROR(IF(A246=A245, Q245-X245, ""), "null")</f>
        <v/>
      </c>
    </row>
    <row r="246" spans="1:28">
      <c r="A246" s="2" t="s">
        <v>174</v>
      </c>
      <c r="B246" s="2" t="str">
        <f>VLOOKUP(A246,Regions!A:B,2,0)</f>
        <v>Sub-Saharan Africa</v>
      </c>
      <c r="C246" s="2">
        <v>2015</v>
      </c>
      <c r="D246" s="2">
        <f>IF(A247=A246,ABS(C247-C246),"")</f>
        <v>5</v>
      </c>
      <c r="E246" s="2">
        <f>IFERROR(IF(A247=A246,((H246-H247)/(C246-C247)), ""), "null")</f>
        <v>0.77855387399999931</v>
      </c>
      <c r="F246" s="2">
        <v>16745.304690000001</v>
      </c>
      <c r="G246" s="2">
        <v>16.312999730000001</v>
      </c>
      <c r="H246" s="2">
        <v>66.154959140000003</v>
      </c>
      <c r="I246" s="2">
        <f>IFERROR(ROUND(H246,0),"null")</f>
        <v>66</v>
      </c>
      <c r="J246" s="2" t="str">
        <f>IF(AND(A247=A246,I246=100,I247=100),"full access", " ")</f>
        <v xml:space="preserve"> </v>
      </c>
      <c r="K246" s="2">
        <v>19.716038309999998</v>
      </c>
      <c r="L246" s="2">
        <v>10.55451427</v>
      </c>
      <c r="M246" s="2">
        <v>3.5744882769999999</v>
      </c>
      <c r="N246" s="2">
        <v>62.240608639999998</v>
      </c>
      <c r="O246" s="2">
        <f>IFERROR(ROUND(N246,0),"null")</f>
        <v>62</v>
      </c>
      <c r="P246" s="2" t="str">
        <f>IF(AND(A246=A247,O246=100,O247=100),"full access"," ")</f>
        <v xml:space="preserve"> </v>
      </c>
      <c r="Q246" s="2">
        <f>IFERROR(IF(A247=A246,((N246-N247)/(C246-C247)),""),"null")</f>
        <v>0.8688870240000014</v>
      </c>
      <c r="R246" s="2">
        <v>21.69810966</v>
      </c>
      <c r="S246" s="2">
        <v>11.875220280000001</v>
      </c>
      <c r="T246" s="2">
        <v>4.186061413</v>
      </c>
      <c r="U246" s="2">
        <v>86.235879850000003</v>
      </c>
      <c r="V246" s="2">
        <f>IFERROR(ROUND(U246,0),"null")</f>
        <v>86</v>
      </c>
      <c r="W246" s="2" t="str">
        <f>IF(AND(A246=A247,V246=100,V247=100),"full access","")</f>
        <v/>
      </c>
      <c r="X246" s="2">
        <f>IFERROR(IF(A247=A246,((U246-U247)/(C246-C247)),""),"null")</f>
        <v>4.3763672000000045E-2</v>
      </c>
      <c r="Y246" s="2">
        <v>9.5478494880000007</v>
      </c>
      <c r="Z246" s="2">
        <v>3.7792023349999999</v>
      </c>
      <c r="AA246" s="2">
        <v>0.43706832449999999</v>
      </c>
      <c r="AB246" s="2">
        <f>IFERROR(IF(A247=A246, Q246-X246, ""), "null")</f>
        <v>0.82512335200000131</v>
      </c>
    </row>
    <row r="247" spans="1:28">
      <c r="A247" s="2" t="s">
        <v>174</v>
      </c>
      <c r="B247" s="2" t="str">
        <f>VLOOKUP(A247,Regions!A:B,2,0)</f>
        <v>Sub-Saharan Africa</v>
      </c>
      <c r="C247" s="2">
        <v>2020</v>
      </c>
      <c r="D247" s="2" t="str">
        <f>IF(A248=A247,ABS(C248-C247),"")</f>
        <v/>
      </c>
      <c r="E247" s="2" t="str">
        <f>IFERROR(IF(A248=A247,((H247-H248)/(C247-C248)), ""), "null")</f>
        <v/>
      </c>
      <c r="F247" s="2">
        <v>19129.95508</v>
      </c>
      <c r="G247" s="2">
        <v>17.42700005</v>
      </c>
      <c r="H247" s="2">
        <v>70.047728509999999</v>
      </c>
      <c r="I247" s="2">
        <f>IFERROR(ROUND(H247,0),"null")</f>
        <v>70</v>
      </c>
      <c r="J247" s="2" t="str">
        <f>IF(AND(A248=A247,I247=100,I248=100),"full access", " ")</f>
        <v xml:space="preserve"> </v>
      </c>
      <c r="K247" s="2">
        <v>21.95081497</v>
      </c>
      <c r="L247" s="2">
        <v>5.7763044069999996</v>
      </c>
      <c r="M247" s="2">
        <v>2.2251521099999998</v>
      </c>
      <c r="N247" s="2">
        <v>66.585043760000005</v>
      </c>
      <c r="O247" s="2">
        <f>IFERROR(ROUND(N247,0),"null")</f>
        <v>67</v>
      </c>
      <c r="P247" s="2" t="str">
        <f>IF(AND(A247=A248,O247=100,O248=100),"full access"," ")</f>
        <v xml:space="preserve"> </v>
      </c>
      <c r="Q247" s="2" t="str">
        <f>IFERROR(IF(A248=A247,((N247-N248)/(C247-C248)),""),"null")</f>
        <v/>
      </c>
      <c r="R247" s="2">
        <v>24.414158029999999</v>
      </c>
      <c r="S247" s="2">
        <v>6.3838741460000001</v>
      </c>
      <c r="T247" s="2">
        <v>2.6169240660000002</v>
      </c>
      <c r="U247" s="2">
        <v>86.454698210000004</v>
      </c>
      <c r="V247" s="2">
        <f>IFERROR(ROUND(U247,0),"null")</f>
        <v>86</v>
      </c>
      <c r="W247" s="2" t="str">
        <f>IF(AND(A247=A248,V247=100,V248=100),"full access","")</f>
        <v/>
      </c>
      <c r="X247" s="2" t="str">
        <f>IFERROR(IF(A248=A247,((U247-U248)/(C247-C248)),""),"null")</f>
        <v/>
      </c>
      <c r="Y247" s="2">
        <v>10.278948249999999</v>
      </c>
      <c r="Z247" s="2">
        <v>2.8975039960000002</v>
      </c>
      <c r="AA247" s="2">
        <v>0.36884954460000002</v>
      </c>
      <c r="AB247" s="2" t="str">
        <f>IFERROR(IF(A248=A247, Q247-X247, ""), "null")</f>
        <v/>
      </c>
    </row>
    <row r="248" spans="1:28">
      <c r="A248" s="2" t="s">
        <v>175</v>
      </c>
      <c r="B248" s="2" t="str">
        <f>VLOOKUP(A248,Regions!A:B,2,0)</f>
        <v>South Asia</v>
      </c>
      <c r="C248" s="2">
        <v>2015</v>
      </c>
      <c r="D248" s="2">
        <f>IF(A249=A248,ABS(C249-C248),"")</f>
        <v>5</v>
      </c>
      <c r="E248" s="2">
        <f>IFERROR(IF(A249=A248,((H248-H249)/(C248-C249)), ""), "null")</f>
        <v>9.5409020000005278E-3</v>
      </c>
      <c r="F248" s="2">
        <v>30270.964840000001</v>
      </c>
      <c r="G248" s="2">
        <v>74.212997439999995</v>
      </c>
      <c r="H248" s="2">
        <v>97.052202559999998</v>
      </c>
      <c r="I248" s="2">
        <f>IFERROR(ROUND(H248,0),"null")</f>
        <v>97</v>
      </c>
      <c r="J248" s="2" t="str">
        <f>IF(AND(A249=A248,I248=100,I249=100),"full access", " ")</f>
        <v xml:space="preserve"> </v>
      </c>
      <c r="K248" s="2">
        <v>0.36300550040000001</v>
      </c>
      <c r="L248" s="2">
        <v>2.584791939</v>
      </c>
      <c r="M248" s="2" t="s">
        <v>45</v>
      </c>
      <c r="N248" s="2">
        <v>90.918309219999998</v>
      </c>
      <c r="O248" s="2">
        <f>IFERROR(ROUND(N248,0),"null")</f>
        <v>91</v>
      </c>
      <c r="P248" s="2" t="str">
        <f>IF(AND(A248=A249,O248=100,O249=100),"full access"," ")</f>
        <v xml:space="preserve"> </v>
      </c>
      <c r="Q248" s="2">
        <f>IFERROR(IF(A249=A248,((N248-N249)/(C248-C249)),""),"null")</f>
        <v>-0.14417221999999869</v>
      </c>
      <c r="R248" s="2">
        <v>0.54880267140000005</v>
      </c>
      <c r="S248" s="2">
        <v>8.5328881049999996</v>
      </c>
      <c r="T248" s="2" t="s">
        <v>45</v>
      </c>
      <c r="U248" s="2">
        <v>99.183566049999996</v>
      </c>
      <c r="V248" s="2">
        <f>IFERROR(ROUND(U248,0),"null")</f>
        <v>99</v>
      </c>
      <c r="W248" s="2" t="str">
        <f>IF(AND(A248=A249,V248=100,V249=100),"full access","")</f>
        <v/>
      </c>
      <c r="X248" s="2">
        <f>IFERROR(IF(A249=A248,((U248-U249)/(C248-C249)),""),"null")</f>
        <v>-8.0940279999992988E-3</v>
      </c>
      <c r="Y248" s="2">
        <v>0.29844603629999999</v>
      </c>
      <c r="Z248" s="2">
        <v>0.427987911</v>
      </c>
      <c r="AA248" s="2">
        <v>0.09</v>
      </c>
      <c r="AB248" s="2">
        <f>IFERROR(IF(A249=A248, Q248-X248, ""), "null")</f>
        <v>-0.13607819199999938</v>
      </c>
    </row>
    <row r="249" spans="1:28">
      <c r="A249" s="2" t="s">
        <v>175</v>
      </c>
      <c r="B249" s="2" t="str">
        <f>VLOOKUP(A249,Regions!A:B,2,0)</f>
        <v>South Asia</v>
      </c>
      <c r="C249" s="2">
        <v>2020</v>
      </c>
      <c r="D249" s="2" t="str">
        <f>IF(A250=A249,ABS(C250-C249),"")</f>
        <v/>
      </c>
      <c r="E249" s="2" t="str">
        <f>IFERROR(IF(A250=A249,((H249-H250)/(C249-C250)), ""), "null")</f>
        <v/>
      </c>
      <c r="F249" s="2">
        <v>32365.998049999998</v>
      </c>
      <c r="G249" s="2">
        <v>77.159996030000002</v>
      </c>
      <c r="H249" s="2">
        <v>97.09990707</v>
      </c>
      <c r="I249" s="2">
        <f>IFERROR(ROUND(H249,0),"null")</f>
        <v>97</v>
      </c>
      <c r="J249" s="2" t="str">
        <f>IF(AND(A250=A249,I249=100,I250=100),"full access", " ")</f>
        <v xml:space="preserve"> </v>
      </c>
      <c r="K249" s="2">
        <v>0.35453968650000001</v>
      </c>
      <c r="L249" s="2">
        <v>2.5455532409999999</v>
      </c>
      <c r="M249" s="2" t="s">
        <v>45</v>
      </c>
      <c r="N249" s="2">
        <v>90.197448120000004</v>
      </c>
      <c r="O249" s="2">
        <f>IFERROR(ROUND(N249,0),"null")</f>
        <v>90</v>
      </c>
      <c r="P249" s="2" t="str">
        <f>IF(AND(A249=A250,O249=100,O250=100),"full access"," ")</f>
        <v xml:space="preserve"> </v>
      </c>
      <c r="Q249" s="2" t="str">
        <f>IFERROR(IF(A250=A249,((N249-N250)/(C249-C250)),""),"null")</f>
        <v/>
      </c>
      <c r="R249" s="2">
        <v>0.54445139710000001</v>
      </c>
      <c r="S249" s="2">
        <v>9.2581004779999994</v>
      </c>
      <c r="T249" s="2" t="s">
        <v>45</v>
      </c>
      <c r="U249" s="2">
        <v>99.14309591</v>
      </c>
      <c r="V249" s="2">
        <f>IFERROR(ROUND(U249,0),"null")</f>
        <v>99</v>
      </c>
      <c r="W249" s="2" t="str">
        <f>IF(AND(A249=A250,V249=100,V250=100),"full access","")</f>
        <v/>
      </c>
      <c r="X249" s="2" t="str">
        <f>IFERROR(IF(A250=A249,((U249-U250)/(C249-C250)),""),"null")</f>
        <v/>
      </c>
      <c r="Y249" s="2">
        <v>0.29832426049999999</v>
      </c>
      <c r="Z249" s="2">
        <v>0.46857983190000002</v>
      </c>
      <c r="AA249" s="2">
        <v>0.09</v>
      </c>
      <c r="AB249" s="2" t="str">
        <f>IFERROR(IF(A250=A249, Q249-X249, ""), "null")</f>
        <v/>
      </c>
    </row>
    <row r="250" spans="1:28">
      <c r="A250" s="2" t="s">
        <v>176</v>
      </c>
      <c r="B250" s="2" t="str">
        <f>VLOOKUP(A250,Regions!A:B,2,0)</f>
        <v>South Asia</v>
      </c>
      <c r="C250" s="2">
        <v>2015</v>
      </c>
      <c r="D250" s="2">
        <f>IF(A251=A250,ABS(C251-C250),"")</f>
        <v>5</v>
      </c>
      <c r="E250" s="2">
        <f>IFERROR(IF(A251=A250,((H250-H251)/(C250-C251)), ""), "null")</f>
        <v>0.14603886200000032</v>
      </c>
      <c r="F250" s="2">
        <v>454.91400149999998</v>
      </c>
      <c r="G250" s="2">
        <v>38.528999329999998</v>
      </c>
      <c r="H250" s="2">
        <v>98.814244290000005</v>
      </c>
      <c r="I250" s="2">
        <f>IFERROR(ROUND(H250,0),"null")</f>
        <v>99</v>
      </c>
      <c r="J250" s="2" t="str">
        <f>IF(AND(A251=A250,I250=100,I251=100),"full access", " ")</f>
        <v xml:space="preserve"> </v>
      </c>
      <c r="K250" s="2">
        <v>0.11215787989999999</v>
      </c>
      <c r="L250" s="2">
        <v>1.0735978349999999</v>
      </c>
      <c r="M250" s="2">
        <v>0</v>
      </c>
      <c r="N250" s="2">
        <v>98.879699270000003</v>
      </c>
      <c r="O250" s="2">
        <f>IFERROR(ROUND(N250,0),"null")</f>
        <v>99</v>
      </c>
      <c r="P250" s="2" t="str">
        <f>IF(AND(A250=A251,O250=100,O251=100),"full access"," ")</f>
        <v xml:space="preserve"> </v>
      </c>
      <c r="Q250" s="2">
        <f>IFERROR(IF(A251=A250,((N250-N251)/(C250-C251)),""),"null")</f>
        <v>0.2078626459999981</v>
      </c>
      <c r="R250" s="2">
        <v>0.16698528160000001</v>
      </c>
      <c r="S250" s="2">
        <v>0.95331545299999998</v>
      </c>
      <c r="T250" s="2">
        <v>0</v>
      </c>
      <c r="U250" s="2">
        <v>98.709805689999996</v>
      </c>
      <c r="V250" s="2">
        <f>IFERROR(ROUND(U250,0),"null")</f>
        <v>99</v>
      </c>
      <c r="W250" s="2" t="str">
        <f>IF(AND(A250=A251,V250=100,V251=100),"full access","")</f>
        <v/>
      </c>
      <c r="X250" s="2">
        <f>IFERROR(IF(A251=A250,((U250-U251)/(C250-C251)),""),"null")</f>
        <v>5.7636648000001858E-2</v>
      </c>
      <c r="Y250" s="2">
        <v>2.4683622329999998E-2</v>
      </c>
      <c r="Z250" s="2">
        <v>1.265510688</v>
      </c>
      <c r="AA250" s="2">
        <v>0</v>
      </c>
      <c r="AB250" s="2">
        <f>IFERROR(IF(A251=A250, Q250-X250, ""), "null")</f>
        <v>0.15022599799999625</v>
      </c>
    </row>
    <row r="251" spans="1:28">
      <c r="A251" s="2" t="s">
        <v>176</v>
      </c>
      <c r="B251" s="2" t="str">
        <f>VLOOKUP(A251,Regions!A:B,2,0)</f>
        <v>South Asia</v>
      </c>
      <c r="C251" s="2">
        <v>2020</v>
      </c>
      <c r="D251" s="2" t="str">
        <f>IF(A252=A251,ABS(C252-C251),"")</f>
        <v/>
      </c>
      <c r="E251" s="2" t="str">
        <f>IFERROR(IF(A252=A251,((H251-H252)/(C251-C252)), ""), "null")</f>
        <v/>
      </c>
      <c r="F251" s="2">
        <v>540.54199219999998</v>
      </c>
      <c r="G251" s="2">
        <v>40.668998719999998</v>
      </c>
      <c r="H251" s="2">
        <v>99.544438600000007</v>
      </c>
      <c r="I251" s="2">
        <f>IFERROR(ROUND(H251,0),"null")</f>
        <v>100</v>
      </c>
      <c r="J251" s="2" t="str">
        <f>IF(AND(A252=A251,I251=100,I252=100),"full access", " ")</f>
        <v xml:space="preserve"> </v>
      </c>
      <c r="K251" s="2">
        <v>4.8050691299999997E-2</v>
      </c>
      <c r="L251" s="2">
        <v>0.40751070499999997</v>
      </c>
      <c r="M251" s="2">
        <v>0</v>
      </c>
      <c r="N251" s="2">
        <v>99.919012499999994</v>
      </c>
      <c r="O251" s="2">
        <f>IFERROR(ROUND(N251,0),"null")</f>
        <v>100</v>
      </c>
      <c r="P251" s="2" t="str">
        <f>IF(AND(A251=A252,O251=100,O252=100),"full access"," ")</f>
        <v xml:space="preserve"> </v>
      </c>
      <c r="Q251" s="2" t="str">
        <f>IFERROR(IF(A252=A251,((N251-N252)/(C251-C252)),""),"null")</f>
        <v/>
      </c>
      <c r="R251" s="2">
        <v>8.0987500000000004E-2</v>
      </c>
      <c r="S251" s="2">
        <v>0</v>
      </c>
      <c r="T251" s="2">
        <v>0</v>
      </c>
      <c r="U251" s="2">
        <v>98.997988930000005</v>
      </c>
      <c r="V251" s="2">
        <f>IFERROR(ROUND(U251,0),"null")</f>
        <v>99</v>
      </c>
      <c r="W251" s="2" t="str">
        <f>IF(AND(A251=A252,V251=100,V252=100),"full access","")</f>
        <v/>
      </c>
      <c r="X251" s="2" t="str">
        <f>IFERROR(IF(A252=A251,((U251-U252)/(C251-C252)),""),"null")</f>
        <v/>
      </c>
      <c r="Y251" s="2">
        <v>0</v>
      </c>
      <c r="Z251" s="2">
        <v>1.0020110689999999</v>
      </c>
      <c r="AA251" s="2">
        <v>0</v>
      </c>
      <c r="AB251" s="2" t="str">
        <f>IFERROR(IF(A252=A251, Q251-X251, ""), "null")</f>
        <v/>
      </c>
    </row>
    <row r="252" spans="1:28">
      <c r="A252" s="2" t="s">
        <v>177</v>
      </c>
      <c r="B252" s="2" t="str">
        <f>VLOOKUP(A252,Regions!A:B,2,0)</f>
        <v>Sub-Saharan Africa</v>
      </c>
      <c r="C252" s="2">
        <v>2015</v>
      </c>
      <c r="D252" s="2">
        <f>IF(A253=A252,ABS(C253-C252),"")</f>
        <v>5</v>
      </c>
      <c r="E252" s="2">
        <f>IFERROR(IF(A253=A252,((H252-H253)/(C252-C253)), ""), "null")</f>
        <v>1.6295557619999983</v>
      </c>
      <c r="F252" s="2">
        <v>17438.771479999999</v>
      </c>
      <c r="G252" s="2">
        <v>39.990997309999997</v>
      </c>
      <c r="H252" s="2">
        <v>74.399512220000005</v>
      </c>
      <c r="I252" s="2">
        <f>IFERROR(ROUND(H252,0),"null")</f>
        <v>74</v>
      </c>
      <c r="J252" s="2" t="str">
        <f>IF(AND(A253=A252,I252=100,I253=100),"full access", " ")</f>
        <v xml:space="preserve"> </v>
      </c>
      <c r="K252" s="2">
        <v>4.1718464529999997</v>
      </c>
      <c r="L252" s="2">
        <v>19.37992934</v>
      </c>
      <c r="M252" s="2">
        <v>2.0487119809999998</v>
      </c>
      <c r="N252" s="2">
        <v>63.395714030000001</v>
      </c>
      <c r="O252" s="2">
        <f>IFERROR(ROUND(N252,0),"null")</f>
        <v>63</v>
      </c>
      <c r="P252" s="2" t="str">
        <f>IF(AND(A252=A253,O252=100,O253=100),"full access"," ")</f>
        <v xml:space="preserve"> </v>
      </c>
      <c r="Q252" s="2">
        <f>IFERROR(IF(A253=A252,((N252-N253)/(C252-C253)),""),"null")</f>
        <v>1.7370362359999987</v>
      </c>
      <c r="R252" s="2">
        <v>4.4493824149999996</v>
      </c>
      <c r="S252" s="2">
        <v>28.94484164</v>
      </c>
      <c r="T252" s="2">
        <v>3.2100619199999998</v>
      </c>
      <c r="U252" s="2">
        <v>90.911405529999996</v>
      </c>
      <c r="V252" s="2">
        <f>IFERROR(ROUND(U252,0),"null")</f>
        <v>91</v>
      </c>
      <c r="W252" s="2" t="str">
        <f>IF(AND(A252=A253,V252=100,V253=100),"full access","")</f>
        <v/>
      </c>
      <c r="X252" s="2">
        <f>IFERROR(IF(A253=A252,((U252-U253)/(C252-C253)),""),"null")</f>
        <v>1.0012098440000017</v>
      </c>
      <c r="Y252" s="2">
        <v>3.7553866569999999</v>
      </c>
      <c r="Z252" s="2">
        <v>5.0271739789999996</v>
      </c>
      <c r="AA252" s="2">
        <v>0.306033834</v>
      </c>
      <c r="AB252" s="2">
        <f>IFERROR(IF(A253=A252, Q252-X252, ""), "null")</f>
        <v>0.735826391999997</v>
      </c>
    </row>
    <row r="253" spans="1:28">
      <c r="A253" s="2" t="s">
        <v>177</v>
      </c>
      <c r="B253" s="2" t="str">
        <f>VLOOKUP(A253,Regions!A:B,2,0)</f>
        <v>Sub-Saharan Africa</v>
      </c>
      <c r="C253" s="2">
        <v>2020</v>
      </c>
      <c r="D253" s="2" t="str">
        <f>IF(A254=A253,ABS(C254-C253),"")</f>
        <v/>
      </c>
      <c r="E253" s="2" t="str">
        <f>IFERROR(IF(A254=A253,((H253-H254)/(C253-C254)), ""), "null")</f>
        <v/>
      </c>
      <c r="F253" s="2">
        <v>20250.833979999999</v>
      </c>
      <c r="G253" s="2">
        <v>43.909004209999999</v>
      </c>
      <c r="H253" s="2">
        <v>82.547291029999997</v>
      </c>
      <c r="I253" s="2">
        <f>IFERROR(ROUND(H253,0),"null")</f>
        <v>83</v>
      </c>
      <c r="J253" s="2" t="str">
        <f>IF(AND(A254=A253,I253=100,I254=100),"full access", " ")</f>
        <v xml:space="preserve"> </v>
      </c>
      <c r="K253" s="2">
        <v>3.8547345270000002</v>
      </c>
      <c r="L253" s="2">
        <v>12.246971350000001</v>
      </c>
      <c r="M253" s="2">
        <v>1.3510030900000001</v>
      </c>
      <c r="N253" s="2">
        <v>72.080895209999994</v>
      </c>
      <c r="O253" s="2">
        <f>IFERROR(ROUND(N253,0),"null")</f>
        <v>72</v>
      </c>
      <c r="P253" s="2" t="str">
        <f>IF(AND(A253=A254,O253=100,O254=100),"full access"," ")</f>
        <v xml:space="preserve"> </v>
      </c>
      <c r="Q253" s="2" t="str">
        <f>IFERROR(IF(A254=A253,((N253-N254)/(C253-C254)),""),"null")</f>
        <v/>
      </c>
      <c r="R253" s="2">
        <v>3.7824122299999998</v>
      </c>
      <c r="S253" s="2">
        <v>21.72810084</v>
      </c>
      <c r="T253" s="2">
        <v>2.4085917170000002</v>
      </c>
      <c r="U253" s="2">
        <v>95.917454750000005</v>
      </c>
      <c r="V253" s="2">
        <f>IFERROR(ROUND(U253,0),"null")</f>
        <v>96</v>
      </c>
      <c r="W253" s="2" t="str">
        <f>IF(AND(A253=A254,V253=100,V254=100),"full access","")</f>
        <v/>
      </c>
      <c r="X253" s="2" t="str">
        <f>IFERROR(IF(A254=A253,((U253-U254)/(C253-C254)),""),"null")</f>
        <v/>
      </c>
      <c r="Y253" s="2">
        <v>3.947121723</v>
      </c>
      <c r="Z253" s="2">
        <v>0.13542353139999999</v>
      </c>
      <c r="AA253" s="2">
        <v>0</v>
      </c>
      <c r="AB253" s="2" t="str">
        <f>IFERROR(IF(A254=A253, Q253-X253, ""), "null")</f>
        <v/>
      </c>
    </row>
    <row r="254" spans="1:28">
      <c r="A254" s="2" t="s">
        <v>178</v>
      </c>
      <c r="B254" s="2" t="str">
        <f>VLOOKUP(A254,Regions!A:B,2,0)</f>
        <v>Europe &amp; Central Asia</v>
      </c>
      <c r="C254" s="2">
        <v>2015</v>
      </c>
      <c r="D254" s="2">
        <f>IF(A255=A254,ABS(C255-C254),"")</f>
        <v>5</v>
      </c>
      <c r="E254" s="2">
        <f>IFERROR(IF(A255=A254,((H254-H255)/(C254-C255)), ""), "null")</f>
        <v>8.0000000934887789E-8</v>
      </c>
      <c r="F254" s="2">
        <v>433.55899049999999</v>
      </c>
      <c r="G254" s="2">
        <v>94.414001459999994</v>
      </c>
      <c r="H254" s="2">
        <v>100</v>
      </c>
      <c r="I254" s="2">
        <f>IFERROR(ROUND(H254,0),"null")</f>
        <v>100</v>
      </c>
      <c r="J254" s="2" t="str">
        <f>IF(AND(A255=A254,I254=100,I255=100),"full access", " ")</f>
        <v>full access</v>
      </c>
      <c r="K254" s="2">
        <v>0</v>
      </c>
      <c r="L254" s="2">
        <v>0</v>
      </c>
      <c r="M254" s="2">
        <v>0</v>
      </c>
      <c r="N254" s="2">
        <v>100</v>
      </c>
      <c r="O254" s="2">
        <f>IFERROR(ROUND(N254,0),"null")</f>
        <v>100</v>
      </c>
      <c r="P254" s="2" t="str">
        <f>IF(AND(A254=A255,O254=100,O255=100),"full access"," ")</f>
        <v>full access</v>
      </c>
      <c r="Q254" s="2">
        <f>IFERROR(IF(A255=A254,((N254-N255)/(C254-C255)),""),"null")</f>
        <v>0</v>
      </c>
      <c r="R254" s="2">
        <v>0</v>
      </c>
      <c r="S254" s="2">
        <v>0</v>
      </c>
      <c r="T254" s="2">
        <v>0</v>
      </c>
      <c r="U254" s="2">
        <v>100</v>
      </c>
      <c r="V254" s="2">
        <f>IFERROR(ROUND(U254,0),"null")</f>
        <v>100</v>
      </c>
      <c r="W254" s="2" t="str">
        <f>IF(AND(A254=A255,V254=100,V255=100),"full access","")</f>
        <v>full access</v>
      </c>
      <c r="X254" s="2">
        <f>IFERROR(IF(A255=A254,((U254-U255)/(C254-C255)),""),"null")</f>
        <v>0</v>
      </c>
      <c r="Y254" s="2">
        <v>0</v>
      </c>
      <c r="Z254" s="2">
        <v>0</v>
      </c>
      <c r="AA254" s="2">
        <v>0</v>
      </c>
      <c r="AB254" s="2">
        <f>IFERROR(IF(A255=A254, Q254-X254, ""), "null")</f>
        <v>0</v>
      </c>
    </row>
    <row r="255" spans="1:28">
      <c r="A255" s="2" t="s">
        <v>178</v>
      </c>
      <c r="B255" s="2" t="str">
        <f>VLOOKUP(A255,Regions!A:B,2,0)</f>
        <v>Europe &amp; Central Asia</v>
      </c>
      <c r="C255" s="2">
        <v>2020</v>
      </c>
      <c r="D255" s="2" t="str">
        <f>IF(A256=A255,ABS(C256-C255),"")</f>
        <v/>
      </c>
      <c r="E255" s="2" t="str">
        <f>IFERROR(IF(A256=A255,((H255-H256)/(C255-C256)), ""), "null")</f>
        <v/>
      </c>
      <c r="F255" s="2">
        <v>441.53900149999998</v>
      </c>
      <c r="G255" s="2">
        <v>94.744003300000003</v>
      </c>
      <c r="H255" s="2">
        <v>100.0000004</v>
      </c>
      <c r="I255" s="2">
        <f>IFERROR(ROUND(H255,0),"null")</f>
        <v>100</v>
      </c>
      <c r="J255" s="2" t="str">
        <f>IF(AND(A256=A255,I255=100,I256=100),"full access", " ")</f>
        <v xml:space="preserve"> </v>
      </c>
      <c r="K255" s="2">
        <v>0</v>
      </c>
      <c r="L255" s="2">
        <v>0</v>
      </c>
      <c r="M255" s="2">
        <v>0</v>
      </c>
      <c r="N255" s="2">
        <v>100</v>
      </c>
      <c r="O255" s="2">
        <f>IFERROR(ROUND(N255,0),"null")</f>
        <v>100</v>
      </c>
      <c r="P255" s="2" t="str">
        <f>IF(AND(A255=A256,O255=100,O256=100),"full access"," ")</f>
        <v xml:space="preserve"> </v>
      </c>
      <c r="Q255" s="2" t="str">
        <f>IFERROR(IF(A256=A255,((N255-N256)/(C255-C256)),""),"null")</f>
        <v/>
      </c>
      <c r="R255" s="2">
        <v>0</v>
      </c>
      <c r="S255" s="2">
        <v>0</v>
      </c>
      <c r="T255" s="2">
        <v>0</v>
      </c>
      <c r="U255" s="2">
        <v>100</v>
      </c>
      <c r="V255" s="2">
        <f>IFERROR(ROUND(U255,0),"null")</f>
        <v>100</v>
      </c>
      <c r="W255" s="2" t="str">
        <f>IF(AND(A255=A256,V255=100,V256=100),"full access","")</f>
        <v/>
      </c>
      <c r="X255" s="2" t="str">
        <f>IFERROR(IF(A256=A255,((U255-U256)/(C255-C256)),""),"null")</f>
        <v/>
      </c>
      <c r="Y255" s="2">
        <v>0</v>
      </c>
      <c r="Z255" s="2">
        <v>0</v>
      </c>
      <c r="AA255" s="2">
        <v>0</v>
      </c>
      <c r="AB255" s="2" t="str">
        <f>IFERROR(IF(A256=A255, Q255-X255, ""), "null")</f>
        <v/>
      </c>
    </row>
    <row r="256" spans="1:28">
      <c r="A256" s="2" t="s">
        <v>179</v>
      </c>
      <c r="B256" s="2" t="str">
        <f>VLOOKUP(A256,Regions!A:B,2,0)</f>
        <v>East Asia &amp; Pacific</v>
      </c>
      <c r="C256" s="2">
        <v>2015</v>
      </c>
      <c r="D256" s="2">
        <f>IF(A257=A256,ABS(C257-C256),"")</f>
        <v>5</v>
      </c>
      <c r="E256" s="2">
        <f>IFERROR(IF(A257=A256,((H256-H257)/(C256-C257)), ""), "null")</f>
        <v>4.5904672000000347E-2</v>
      </c>
      <c r="F256" s="2">
        <v>57.444000240000001</v>
      </c>
      <c r="G256" s="2">
        <v>75.810997009999994</v>
      </c>
      <c r="H256" s="2">
        <v>88.342523619999994</v>
      </c>
      <c r="I256" s="2">
        <f>IFERROR(ROUND(H256,0),"null")</f>
        <v>88</v>
      </c>
      <c r="J256" s="2" t="str">
        <f>IF(AND(A257=A256,I256=100,I257=100),"full access", " ")</f>
        <v xml:space="preserve"> </v>
      </c>
      <c r="K256" s="2">
        <v>11.18141559</v>
      </c>
      <c r="L256" s="2">
        <v>0.47606079179999999</v>
      </c>
      <c r="M256" s="2">
        <v>0</v>
      </c>
      <c r="N256" s="2">
        <v>94.278360000000006</v>
      </c>
      <c r="O256" s="2">
        <f>IFERROR(ROUND(N256,0),"null")</f>
        <v>94</v>
      </c>
      <c r="P256" s="2" t="str">
        <f>IF(AND(A256=A257,O256=100,O257=100),"full access"," ")</f>
        <v xml:space="preserve"> </v>
      </c>
      <c r="Q256" s="2">
        <f>IFERROR(IF(A257=A256,((N256-N257)/(C256-C257)),""),"null")</f>
        <v>3.0271999999999365E-2</v>
      </c>
      <c r="R256" s="2">
        <v>5.38164</v>
      </c>
      <c r="S256" s="2">
        <v>0.34</v>
      </c>
      <c r="T256" s="2">
        <v>0</v>
      </c>
      <c r="U256" s="2">
        <v>86.448577369999995</v>
      </c>
      <c r="V256" s="2">
        <f>IFERROR(ROUND(U256,0),"null")</f>
        <v>86</v>
      </c>
      <c r="W256" s="2" t="str">
        <f>IF(AND(A256=A257,V256=100,V257=100),"full access","")</f>
        <v/>
      </c>
      <c r="X256" s="2">
        <f>IFERROR(IF(A257=A256,((U256-U257)/(C256-C257)),""),"null")</f>
        <v>9.0284526000002072E-2</v>
      </c>
      <c r="Y256" s="2">
        <v>13.03194895</v>
      </c>
      <c r="Z256" s="2">
        <v>0.51947368419999995</v>
      </c>
      <c r="AA256" s="2">
        <v>0</v>
      </c>
      <c r="AB256" s="2">
        <f>IFERROR(IF(A257=A256, Q256-X256, ""), "null")</f>
        <v>-6.0012526000002703E-2</v>
      </c>
    </row>
    <row r="257" spans="1:28">
      <c r="A257" s="2" t="s">
        <v>179</v>
      </c>
      <c r="B257" s="2" t="str">
        <f>VLOOKUP(A257,Regions!A:B,2,0)</f>
        <v>East Asia &amp; Pacific</v>
      </c>
      <c r="C257" s="2">
        <v>2020</v>
      </c>
      <c r="D257" s="2" t="str">
        <f>IF(A258=A257,ABS(C258-C257),"")</f>
        <v/>
      </c>
      <c r="E257" s="2" t="str">
        <f>IFERROR(IF(A258=A257,((H257-H258)/(C257-C258)), ""), "null")</f>
        <v/>
      </c>
      <c r="F257" s="2">
        <v>59.194000240000001</v>
      </c>
      <c r="G257" s="2">
        <v>77.793991090000006</v>
      </c>
      <c r="H257" s="2">
        <v>88.572046979999996</v>
      </c>
      <c r="I257" s="2">
        <f>IFERROR(ROUND(H257,0),"null")</f>
        <v>89</v>
      </c>
      <c r="J257" s="2" t="str">
        <f>IF(AND(A258=A257,I257=100,I258=100),"full access", " ")</f>
        <v xml:space="preserve"> </v>
      </c>
      <c r="K257" s="2">
        <v>11.387979</v>
      </c>
      <c r="L257" s="2">
        <v>3.9974025849999997E-2</v>
      </c>
      <c r="M257" s="2">
        <v>0</v>
      </c>
      <c r="N257" s="2">
        <v>94.429720000000003</v>
      </c>
      <c r="O257" s="2">
        <f>IFERROR(ROUND(N257,0),"null")</f>
        <v>94</v>
      </c>
      <c r="P257" s="2" t="str">
        <f>IF(AND(A257=A258,O257=100,O258=100),"full access"," ")</f>
        <v xml:space="preserve"> </v>
      </c>
      <c r="Q257" s="2" t="str">
        <f>IFERROR(IF(A258=A257,((N257-N258)/(C257-C258)),""),"null")</f>
        <v/>
      </c>
      <c r="R257" s="2">
        <v>5.3902799999999997</v>
      </c>
      <c r="S257" s="2">
        <v>0.18</v>
      </c>
      <c r="T257" s="2">
        <v>0</v>
      </c>
      <c r="U257" s="2">
        <v>86.9</v>
      </c>
      <c r="V257" s="2">
        <f>IFERROR(ROUND(U257,0),"null")</f>
        <v>87</v>
      </c>
      <c r="W257" s="2" t="str">
        <f>IF(AND(A257=A258,V257=100,V258=100),"full access","")</f>
        <v/>
      </c>
      <c r="X257" s="2" t="str">
        <f>IFERROR(IF(A258=A257,((U257-U258)/(C257-C258)),""),"null")</f>
        <v/>
      </c>
      <c r="Y257" s="2">
        <v>13.1</v>
      </c>
      <c r="Z257" s="2">
        <v>0</v>
      </c>
      <c r="AA257" s="2">
        <v>0</v>
      </c>
      <c r="AB257" s="2" t="str">
        <f>IFERROR(IF(A258=A257, Q257-X257, ""), "null")</f>
        <v/>
      </c>
    </row>
    <row r="258" spans="1:28">
      <c r="A258" s="2" t="s">
        <v>180</v>
      </c>
      <c r="B258" s="2" t="str">
        <f>VLOOKUP(A258,Regions!A:B,2,0)</f>
        <v>Latin America &amp; Caribbean</v>
      </c>
      <c r="C258" s="2">
        <v>2015</v>
      </c>
      <c r="D258" s="2">
        <f>IF(A259=A258,ABS(C259-C258),"")</f>
        <v>5</v>
      </c>
      <c r="E258" s="2">
        <f>IFERROR(IF(A259=A258,((H258-H259)/(C258-C259)), ""), "null")</f>
        <v>9.1881559999990262E-3</v>
      </c>
      <c r="F258" s="2">
        <v>378.48300169999999</v>
      </c>
      <c r="G258" s="2">
        <v>88.981002810000007</v>
      </c>
      <c r="H258" s="2">
        <v>99.796030000000002</v>
      </c>
      <c r="I258" s="2">
        <f>IFERROR(ROUND(H258,0),"null")</f>
        <v>100</v>
      </c>
      <c r="J258" s="2" t="str">
        <f>IF(AND(A259=A258,I258=100,I259=100),"full access", " ")</f>
        <v>full access</v>
      </c>
      <c r="K258" s="2">
        <v>0</v>
      </c>
      <c r="L258" s="2">
        <v>0.20396999539999999</v>
      </c>
      <c r="M258" s="2">
        <v>0</v>
      </c>
      <c r="N258" s="2" t="s">
        <v>45</v>
      </c>
      <c r="O258" s="2" t="str">
        <f>IFERROR(ROUND(N258,0),"null")</f>
        <v>null</v>
      </c>
      <c r="P258" s="2" t="str">
        <f>IF(AND(A258=A259,O258=100,O259=100),"full access"," ")</f>
        <v xml:space="preserve"> </v>
      </c>
      <c r="Q258" s="2" t="str">
        <f>IFERROR(IF(A259=A258,((N258-N259)/(C258-C259)),""),"null")</f>
        <v>null</v>
      </c>
      <c r="R258" s="2" t="s">
        <v>45</v>
      </c>
      <c r="S258" s="2" t="s">
        <v>45</v>
      </c>
      <c r="T258" s="2" t="s">
        <v>45</v>
      </c>
      <c r="U258" s="2" t="s">
        <v>45</v>
      </c>
      <c r="V258" s="2" t="str">
        <f>IFERROR(ROUND(U258,0),"null")</f>
        <v>null</v>
      </c>
      <c r="W258" s="2" t="str">
        <f>IF(AND(A258=A259,V258=100,V259=100),"full access","")</f>
        <v/>
      </c>
      <c r="X258" s="2" t="str">
        <f>IFERROR(IF(A259=A258,((U258-U259)/(C258-C259)),""),"null")</f>
        <v>null</v>
      </c>
      <c r="Y258" s="2" t="s">
        <v>45</v>
      </c>
      <c r="Z258" s="2" t="s">
        <v>45</v>
      </c>
      <c r="AA258" s="2" t="s">
        <v>45</v>
      </c>
      <c r="AB258" s="2" t="str">
        <f>IFERROR(IF(A259=A258, Q258-X258, ""), "null")</f>
        <v>null</v>
      </c>
    </row>
    <row r="259" spans="1:28">
      <c r="A259" s="2" t="s">
        <v>180</v>
      </c>
      <c r="B259" s="2" t="str">
        <f>VLOOKUP(A259,Regions!A:B,2,0)</f>
        <v>Latin America &amp; Caribbean</v>
      </c>
      <c r="C259" s="2">
        <v>2020</v>
      </c>
      <c r="D259" s="2" t="str">
        <f>IF(A260=A259,ABS(C260-C259),"")</f>
        <v/>
      </c>
      <c r="E259" s="2" t="str">
        <f>IFERROR(IF(A260=A259,((H259-H260)/(C259-C260)), ""), "null")</f>
        <v/>
      </c>
      <c r="F259" s="2">
        <v>375.26501459999997</v>
      </c>
      <c r="G259" s="2">
        <v>89.13999939</v>
      </c>
      <c r="H259" s="2">
        <v>99.841970779999997</v>
      </c>
      <c r="I259" s="2">
        <f>IFERROR(ROUND(H259,0),"null")</f>
        <v>100</v>
      </c>
      <c r="J259" s="2" t="str">
        <f>IF(AND(A260=A259,I259=100,I260=100),"full access", " ")</f>
        <v xml:space="preserve"> </v>
      </c>
      <c r="K259" s="2">
        <v>0</v>
      </c>
      <c r="L259" s="2">
        <v>0.15802921580000001</v>
      </c>
      <c r="M259" s="2">
        <v>0</v>
      </c>
      <c r="N259" s="2" t="s">
        <v>45</v>
      </c>
      <c r="O259" s="2" t="str">
        <f>IFERROR(ROUND(N259,0),"null")</f>
        <v>null</v>
      </c>
      <c r="P259" s="2" t="str">
        <f>IF(AND(A259=A260,O259=100,O260=100),"full access"," ")</f>
        <v xml:space="preserve"> </v>
      </c>
      <c r="Q259" s="2" t="str">
        <f>IFERROR(IF(A260=A259,((N259-N260)/(C259-C260)),""),"null")</f>
        <v/>
      </c>
      <c r="R259" s="2" t="s">
        <v>45</v>
      </c>
      <c r="S259" s="2" t="s">
        <v>45</v>
      </c>
      <c r="T259" s="2" t="s">
        <v>45</v>
      </c>
      <c r="U259" s="2" t="s">
        <v>45</v>
      </c>
      <c r="V259" s="2" t="str">
        <f>IFERROR(ROUND(U259,0),"null")</f>
        <v>null</v>
      </c>
      <c r="W259" s="2" t="str">
        <f>IF(AND(A259=A260,V259=100,V260=100),"full access","")</f>
        <v/>
      </c>
      <c r="X259" s="2" t="str">
        <f>IFERROR(IF(A260=A259,((U259-U260)/(C259-C260)),""),"null")</f>
        <v/>
      </c>
      <c r="Y259" s="2" t="s">
        <v>45</v>
      </c>
      <c r="Z259" s="2" t="s">
        <v>45</v>
      </c>
      <c r="AA259" s="2" t="s">
        <v>45</v>
      </c>
      <c r="AB259" s="2" t="str">
        <f>IFERROR(IF(A260=A259, Q259-X259, ""), "null")</f>
        <v/>
      </c>
    </row>
    <row r="260" spans="1:28">
      <c r="A260" s="2" t="s">
        <v>181</v>
      </c>
      <c r="B260" s="2" t="str">
        <f>VLOOKUP(A260,Regions!A:B,2,0)</f>
        <v>Sub-Saharan Africa</v>
      </c>
      <c r="C260" s="2">
        <v>2015</v>
      </c>
      <c r="D260" s="2">
        <f>IF(A261=A260,ABS(C261-C260),"")</f>
        <v>5</v>
      </c>
      <c r="E260" s="2">
        <f>IFERROR(IF(A261=A260,((H260-H261)/(C260-C261)), ""), "null")</f>
        <v>0.94154796599999879</v>
      </c>
      <c r="F260" s="2">
        <v>4046.3039549999999</v>
      </c>
      <c r="G260" s="2">
        <v>51.0890007</v>
      </c>
      <c r="H260" s="2">
        <v>66.973309400000005</v>
      </c>
      <c r="I260" s="2">
        <f>IFERROR(ROUND(H260,0),"null")</f>
        <v>67</v>
      </c>
      <c r="J260" s="2" t="str">
        <f>IF(AND(A261=A260,I260=100,I261=100),"full access", " ")</f>
        <v xml:space="preserve"> </v>
      </c>
      <c r="K260" s="2">
        <v>14.811653570000001</v>
      </c>
      <c r="L260" s="2">
        <v>17.637023750000001</v>
      </c>
      <c r="M260" s="2">
        <v>0.57801328240000005</v>
      </c>
      <c r="N260" s="2">
        <v>46.69284218</v>
      </c>
      <c r="O260" s="2">
        <f>IFERROR(ROUND(N260,0),"null")</f>
        <v>47</v>
      </c>
      <c r="P260" s="2" t="str">
        <f>IF(AND(A260=A261,O260=100,O261=100),"full access"," ")</f>
        <v xml:space="preserve"> </v>
      </c>
      <c r="Q260" s="2">
        <f>IFERROR(IF(A261=A260,((N260-N261)/(C260-C261)),""),"null")</f>
        <v>0.64369934399999951</v>
      </c>
      <c r="R260" s="2">
        <v>18.20063085</v>
      </c>
      <c r="S260" s="2">
        <v>33.924761500000002</v>
      </c>
      <c r="T260" s="2">
        <v>1.1817654639999999</v>
      </c>
      <c r="U260" s="2">
        <v>86.389188590000003</v>
      </c>
      <c r="V260" s="2">
        <f>IFERROR(ROUND(U260,0),"null")</f>
        <v>86</v>
      </c>
      <c r="W260" s="2" t="str">
        <f>IF(AND(A260=A261,V260=100,V261=100),"full access","")</f>
        <v/>
      </c>
      <c r="X260" s="2">
        <f>IFERROR(IF(A261=A260,((U260-U261)/(C260-C261)),""),"null")</f>
        <v>0.57390121199999844</v>
      </c>
      <c r="Y260" s="2">
        <v>11.56715369</v>
      </c>
      <c r="Z260" s="2">
        <v>2.043657719</v>
      </c>
      <c r="AA260" s="2">
        <v>0</v>
      </c>
      <c r="AB260" s="2">
        <f>IFERROR(IF(A261=A260, Q260-X260, ""), "null")</f>
        <v>6.9798132000001067E-2</v>
      </c>
    </row>
    <row r="261" spans="1:28">
      <c r="A261" s="2" t="s">
        <v>181</v>
      </c>
      <c r="B261" s="2" t="str">
        <f>VLOOKUP(A261,Regions!A:B,2,0)</f>
        <v>Sub-Saharan Africa</v>
      </c>
      <c r="C261" s="2">
        <v>2020</v>
      </c>
      <c r="D261" s="2" t="str">
        <f>IF(A262=A261,ABS(C262-C261),"")</f>
        <v/>
      </c>
      <c r="E261" s="2" t="str">
        <f>IFERROR(IF(A262=A261,((H261-H262)/(C261-C262)), ""), "null")</f>
        <v/>
      </c>
      <c r="F261" s="2">
        <v>4649.6601559999999</v>
      </c>
      <c r="G261" s="2">
        <v>55.326995850000003</v>
      </c>
      <c r="H261" s="2">
        <v>71.681049229999999</v>
      </c>
      <c r="I261" s="2">
        <f>IFERROR(ROUND(H261,0),"null")</f>
        <v>72</v>
      </c>
      <c r="J261" s="2" t="str">
        <f>IF(AND(A262=A261,I261=100,I262=100),"full access", " ")</f>
        <v xml:space="preserve"> </v>
      </c>
      <c r="K261" s="2">
        <v>13.476891930000001</v>
      </c>
      <c r="L261" s="2">
        <v>14.820326809999999</v>
      </c>
      <c r="M261" s="2">
        <v>2.173203433E-2</v>
      </c>
      <c r="N261" s="2">
        <v>49.911338899999997</v>
      </c>
      <c r="O261" s="2">
        <f>IFERROR(ROUND(N261,0),"null")</f>
        <v>50</v>
      </c>
      <c r="P261" s="2" t="str">
        <f>IF(AND(A261=A262,O261=100,O262=100),"full access"," ")</f>
        <v xml:space="preserve"> </v>
      </c>
      <c r="Q261" s="2" t="str">
        <f>IFERROR(IF(A262=A261,((N261-N262)/(C261-C262)),""),"null")</f>
        <v/>
      </c>
      <c r="R261" s="2">
        <v>18.49039689</v>
      </c>
      <c r="S261" s="2">
        <v>31.549617300000001</v>
      </c>
      <c r="T261" s="2">
        <v>4.8646907220000001E-2</v>
      </c>
      <c r="U261" s="2">
        <v>89.258694649999995</v>
      </c>
      <c r="V261" s="2">
        <f>IFERROR(ROUND(U261,0),"null")</f>
        <v>89</v>
      </c>
      <c r="W261" s="2" t="str">
        <f>IF(AND(A261=A262,V261=100,V262=100),"full access","")</f>
        <v/>
      </c>
      <c r="X261" s="2" t="str">
        <f>IFERROR(IF(A262=A261,((U261-U262)/(C261-C262)),""),"null")</f>
        <v/>
      </c>
      <c r="Y261" s="2">
        <v>9.4288080829999998</v>
      </c>
      <c r="Z261" s="2">
        <v>1.3124972699999999</v>
      </c>
      <c r="AA261" s="2">
        <v>0</v>
      </c>
      <c r="AB261" s="2" t="str">
        <f>IFERROR(IF(A262=A261, Q261-X261, ""), "null")</f>
        <v/>
      </c>
    </row>
    <row r="262" spans="1:28">
      <c r="A262" s="2" t="s">
        <v>182</v>
      </c>
      <c r="B262" s="2" t="str">
        <f>VLOOKUP(A262,Regions!A:B,2,0)</f>
        <v>Sub-Saharan Africa</v>
      </c>
      <c r="C262" s="2">
        <v>2015</v>
      </c>
      <c r="D262" s="2">
        <f>IF(A263=A262,ABS(C263-C262),"")</f>
        <v>5</v>
      </c>
      <c r="E262" s="2">
        <f>IFERROR(IF(A263=A262,((H262-H263)/(C262-C263)), ""), "null")</f>
        <v>-4.5424000001048624E-5</v>
      </c>
      <c r="F262" s="2">
        <v>1259.4570309999999</v>
      </c>
      <c r="G262" s="2">
        <v>41</v>
      </c>
      <c r="H262" s="2">
        <v>99.866481820000004</v>
      </c>
      <c r="I262" s="2">
        <f>IFERROR(ROUND(H262,0),"null")</f>
        <v>100</v>
      </c>
      <c r="J262" s="2" t="str">
        <f>IF(AND(A263=A262,I262=100,I263=100),"full access", " ")</f>
        <v>full access</v>
      </c>
      <c r="K262" s="2">
        <v>0</v>
      </c>
      <c r="L262" s="2">
        <v>0.13351818090000001</v>
      </c>
      <c r="M262" s="2">
        <v>0</v>
      </c>
      <c r="N262" s="2">
        <v>99.827682339999996</v>
      </c>
      <c r="O262" s="2">
        <f>IFERROR(ROUND(N262,0),"null")</f>
        <v>100</v>
      </c>
      <c r="P262" s="2" t="str">
        <f>IF(AND(A262=A263,O262=100,O263=100),"full access"," ")</f>
        <v>full access</v>
      </c>
      <c r="Q262" s="2">
        <f>IFERROR(IF(A263=A262,((N262-N263)/(C262-C263)),""),"null")</f>
        <v>0</v>
      </c>
      <c r="R262" s="2">
        <v>0</v>
      </c>
      <c r="S262" s="2">
        <v>0.17231766179999999</v>
      </c>
      <c r="T262" s="2">
        <v>0</v>
      </c>
      <c r="U262" s="2">
        <v>99.922315220000002</v>
      </c>
      <c r="V262" s="2">
        <f>IFERROR(ROUND(U262,0),"null")</f>
        <v>100</v>
      </c>
      <c r="W262" s="2" t="str">
        <f>IF(AND(A262=A263,V262=100,V263=100),"full access","")</f>
        <v>full access</v>
      </c>
      <c r="X262" s="2">
        <f>IFERROR(IF(A263=A262,((U262-U263)/(C262-C263)),""),"null")</f>
        <v>0</v>
      </c>
      <c r="Y262" s="2">
        <v>0</v>
      </c>
      <c r="Z262" s="2">
        <v>7.7684781189999996E-2</v>
      </c>
      <c r="AA262" s="2">
        <v>0</v>
      </c>
      <c r="AB262" s="2">
        <f>IFERROR(IF(A263=A262, Q262-X262, ""), "null")</f>
        <v>0</v>
      </c>
    </row>
    <row r="263" spans="1:28">
      <c r="A263" s="2" t="s">
        <v>182</v>
      </c>
      <c r="B263" s="2" t="str">
        <f>VLOOKUP(A263,Regions!A:B,2,0)</f>
        <v>Sub-Saharan Africa</v>
      </c>
      <c r="C263" s="2">
        <v>2020</v>
      </c>
      <c r="D263" s="2" t="str">
        <f>IF(A264=A263,ABS(C264-C263),"")</f>
        <v/>
      </c>
      <c r="E263" s="2" t="str">
        <f>IFERROR(IF(A264=A263,((H263-H264)/(C263-C264)), ""), "null")</f>
        <v/>
      </c>
      <c r="F263" s="2">
        <v>1271.7669679999999</v>
      </c>
      <c r="G263" s="2">
        <v>40.759998320000001</v>
      </c>
      <c r="H263" s="2">
        <v>99.866254699999999</v>
      </c>
      <c r="I263" s="2">
        <f>IFERROR(ROUND(H263,0),"null")</f>
        <v>100</v>
      </c>
      <c r="J263" s="2" t="str">
        <f>IF(AND(A264=A263,I263=100,I264=100),"full access", " ")</f>
        <v xml:space="preserve"> </v>
      </c>
      <c r="K263" s="2">
        <v>0</v>
      </c>
      <c r="L263" s="2">
        <v>0.13374530139999999</v>
      </c>
      <c r="M263" s="2">
        <v>0</v>
      </c>
      <c r="N263" s="2">
        <v>99.827682339999996</v>
      </c>
      <c r="O263" s="2">
        <f>IFERROR(ROUND(N263,0),"null")</f>
        <v>100</v>
      </c>
      <c r="P263" s="2" t="str">
        <f>IF(AND(A263=A264,O263=100,O264=100),"full access"," ")</f>
        <v xml:space="preserve"> </v>
      </c>
      <c r="Q263" s="2" t="str">
        <f>IFERROR(IF(A264=A263,((N263-N264)/(C263-C264)),""),"null")</f>
        <v/>
      </c>
      <c r="R263" s="2">
        <v>0</v>
      </c>
      <c r="S263" s="2">
        <v>0.17231766179999999</v>
      </c>
      <c r="T263" s="2">
        <v>0</v>
      </c>
      <c r="U263" s="2">
        <v>99.922315220000002</v>
      </c>
      <c r="V263" s="2">
        <f>IFERROR(ROUND(U263,0),"null")</f>
        <v>100</v>
      </c>
      <c r="W263" s="2" t="str">
        <f>IF(AND(A263=A264,V263=100,V264=100),"full access","")</f>
        <v/>
      </c>
      <c r="X263" s="2" t="str">
        <f>IFERROR(IF(A264=A263,((U263-U264)/(C263-C264)),""),"null")</f>
        <v/>
      </c>
      <c r="Y263" s="2">
        <v>0</v>
      </c>
      <c r="Z263" s="2">
        <v>7.7684781189999996E-2</v>
      </c>
      <c r="AA263" s="2">
        <v>0</v>
      </c>
      <c r="AB263" s="2" t="str">
        <f>IFERROR(IF(A264=A263, Q263-X263, ""), "null")</f>
        <v/>
      </c>
    </row>
    <row r="264" spans="1:28">
      <c r="A264" s="2" t="s">
        <v>183</v>
      </c>
      <c r="B264" s="2" t="str">
        <f>VLOOKUP(A264,Regions!A:B,2,0)</f>
        <v>Sub-Saharan Africa</v>
      </c>
      <c r="C264" s="2">
        <v>2015</v>
      </c>
      <c r="D264" s="2">
        <f>IF(A265=A264,ABS(C265-C264),"")</f>
        <v>5</v>
      </c>
      <c r="E264" s="2">
        <f>IFERROR(IF(A265=A264,((H264-H265)/(C264-C265)), ""), "null")</f>
        <v>-9.3326313999997981E-2</v>
      </c>
      <c r="F264" s="2">
        <v>240.01100159999999</v>
      </c>
      <c r="G264" s="2">
        <v>46.989002229999997</v>
      </c>
      <c r="H264" s="2">
        <v>96.837811279999997</v>
      </c>
      <c r="I264" s="2">
        <f>IFERROR(ROUND(H264,0),"null")</f>
        <v>97</v>
      </c>
      <c r="J264" s="2" t="str">
        <f>IF(AND(A265=A264,I264=100,I265=100),"full access", " ")</f>
        <v xml:space="preserve"> </v>
      </c>
      <c r="K264" s="2">
        <v>0</v>
      </c>
      <c r="L264" s="2">
        <v>0.28201846689999999</v>
      </c>
      <c r="M264" s="2">
        <v>2.880170256</v>
      </c>
      <c r="N264" s="2" t="s">
        <v>45</v>
      </c>
      <c r="O264" s="2" t="str">
        <f>IFERROR(ROUND(N264,0),"null")</f>
        <v>null</v>
      </c>
      <c r="P264" s="2" t="str">
        <f>IF(AND(A264=A265,O264=100,O265=100),"full access"," ")</f>
        <v xml:space="preserve"> </v>
      </c>
      <c r="Q264" s="2" t="str">
        <f>IFERROR(IF(A265=A264,((N264-N265)/(C264-C265)),""),"null")</f>
        <v>null</v>
      </c>
      <c r="R264" s="2" t="s">
        <v>45</v>
      </c>
      <c r="S264" s="2" t="s">
        <v>45</v>
      </c>
      <c r="T264" s="2" t="s">
        <v>45</v>
      </c>
      <c r="U264" s="2" t="s">
        <v>45</v>
      </c>
      <c r="V264" s="2" t="str">
        <f>IFERROR(ROUND(U264,0),"null")</f>
        <v>null</v>
      </c>
      <c r="W264" s="2" t="str">
        <f>IF(AND(A264=A265,V264=100,V265=100),"full access","")</f>
        <v/>
      </c>
      <c r="X264" s="2" t="str">
        <f>IFERROR(IF(A265=A264,((U264-U265)/(C264-C265)),""),"null")</f>
        <v>null</v>
      </c>
      <c r="Y264" s="2" t="s">
        <v>45</v>
      </c>
      <c r="Z264" s="2" t="s">
        <v>45</v>
      </c>
      <c r="AA264" s="2" t="s">
        <v>45</v>
      </c>
      <c r="AB264" s="2" t="str">
        <f>IFERROR(IF(A265=A264, Q264-X264, ""), "null")</f>
        <v>null</v>
      </c>
    </row>
    <row r="265" spans="1:28">
      <c r="A265" s="2" t="s">
        <v>183</v>
      </c>
      <c r="B265" s="2" t="str">
        <f>VLOOKUP(A265,Regions!A:B,2,0)</f>
        <v>Sub-Saharan Africa</v>
      </c>
      <c r="C265" s="2">
        <v>2020</v>
      </c>
      <c r="D265" s="2" t="str">
        <f>IF(A266=A265,ABS(C266-C265),"")</f>
        <v/>
      </c>
      <c r="E265" s="2" t="str">
        <f>IFERROR(IF(A266=A265,((H265-H266)/(C265-C266)), ""), "null")</f>
        <v/>
      </c>
      <c r="F265" s="2">
        <v>272.81298829999997</v>
      </c>
      <c r="G265" s="2">
        <v>45.750999450000002</v>
      </c>
      <c r="H265" s="2">
        <v>96.371179710000007</v>
      </c>
      <c r="I265" s="2">
        <f>IFERROR(ROUND(H265,0),"null")</f>
        <v>96</v>
      </c>
      <c r="J265" s="2" t="str">
        <f>IF(AND(A266=A265,I265=100,I266=100),"full access", " ")</f>
        <v xml:space="preserve"> </v>
      </c>
      <c r="K265" s="2">
        <v>0</v>
      </c>
      <c r="L265" s="2">
        <v>3.6288202950000001</v>
      </c>
      <c r="M265" s="2" t="s">
        <v>45</v>
      </c>
      <c r="N265" s="2" t="s">
        <v>45</v>
      </c>
      <c r="O265" s="2" t="str">
        <f>IFERROR(ROUND(N265,0),"null")</f>
        <v>null</v>
      </c>
      <c r="P265" s="2" t="str">
        <f>IF(AND(A265=A266,O265=100,O266=100),"full access"," ")</f>
        <v xml:space="preserve"> </v>
      </c>
      <c r="Q265" s="2" t="str">
        <f>IFERROR(IF(A266=A265,((N265-N266)/(C265-C266)),""),"null")</f>
        <v/>
      </c>
      <c r="R265" s="2" t="s">
        <v>45</v>
      </c>
      <c r="S265" s="2" t="s">
        <v>45</v>
      </c>
      <c r="T265" s="2" t="s">
        <v>45</v>
      </c>
      <c r="U265" s="2" t="s">
        <v>45</v>
      </c>
      <c r="V265" s="2" t="str">
        <f>IFERROR(ROUND(U265,0),"null")</f>
        <v>null</v>
      </c>
      <c r="W265" s="2" t="str">
        <f>IF(AND(A265=A266,V265=100,V266=100),"full access","")</f>
        <v/>
      </c>
      <c r="X265" s="2" t="str">
        <f>IFERROR(IF(A266=A265,((U265-U266)/(C265-C266)),""),"null")</f>
        <v/>
      </c>
      <c r="Y265" s="2" t="s">
        <v>45</v>
      </c>
      <c r="Z265" s="2" t="s">
        <v>45</v>
      </c>
      <c r="AA265" s="2" t="s">
        <v>45</v>
      </c>
      <c r="AB265" s="2" t="str">
        <f>IFERROR(IF(A266=A265, Q265-X265, ""), "null")</f>
        <v/>
      </c>
    </row>
    <row r="266" spans="1:28">
      <c r="A266" s="2" t="s">
        <v>184</v>
      </c>
      <c r="B266" s="2" t="str">
        <f>VLOOKUP(A266,Regions!A:B,2,0)</f>
        <v>Latin America &amp; Caribbean</v>
      </c>
      <c r="C266" s="2">
        <v>2015</v>
      </c>
      <c r="D266" s="2">
        <f>IF(A267=A266,ABS(C267-C266),"")</f>
        <v>5</v>
      </c>
      <c r="E266" s="2">
        <f>IFERROR(IF(A267=A266,((H266-H267)/(C266-C267)), ""), "null")</f>
        <v>0.33082494800000006</v>
      </c>
      <c r="F266" s="2">
        <v>121858.25</v>
      </c>
      <c r="G266" s="2">
        <v>79.284996030000002</v>
      </c>
      <c r="H266" s="2">
        <v>98.025443539999998</v>
      </c>
      <c r="I266" s="2">
        <f>IFERROR(ROUND(H266,0),"null")</f>
        <v>98</v>
      </c>
      <c r="J266" s="2" t="str">
        <f>IF(AND(A267=A266,I266=100,I267=100),"full access", " ")</f>
        <v xml:space="preserve"> </v>
      </c>
      <c r="K266" s="2">
        <v>0</v>
      </c>
      <c r="L266" s="2">
        <v>1.4123609640000001</v>
      </c>
      <c r="M266" s="2">
        <v>0.56219549209999997</v>
      </c>
      <c r="N266" s="2">
        <v>93.286694030000007</v>
      </c>
      <c r="O266" s="2">
        <f>IFERROR(ROUND(N266,0),"null")</f>
        <v>93</v>
      </c>
      <c r="P266" s="2" t="str">
        <f>IF(AND(A266=A267,O266=100,O267=100),"full access"," ")</f>
        <v xml:space="preserve"> </v>
      </c>
      <c r="Q266" s="2">
        <f>IFERROR(IF(A267=A266,((N266-N267)/(C266-C267)),""),"null")</f>
        <v>1.0100749799999988</v>
      </c>
      <c r="R266" s="2">
        <v>0</v>
      </c>
      <c r="S266" s="2">
        <v>4.3109388519999996</v>
      </c>
      <c r="T266" s="2">
        <v>2.4023671210000002</v>
      </c>
      <c r="U266" s="2">
        <v>99.263552899999993</v>
      </c>
      <c r="V266" s="2">
        <f>IFERROR(ROUND(U266,0),"null")</f>
        <v>99</v>
      </c>
      <c r="W266" s="2" t="str">
        <f>IF(AND(A266=A267,V266=100,V267=100),"full access","")</f>
        <v/>
      </c>
      <c r="X266" s="2">
        <f>IFERROR(IF(A267=A266,((U266-U267)/(C266-C267)),""),"null")</f>
        <v>0.14728942000000131</v>
      </c>
      <c r="Y266" s="2">
        <v>0</v>
      </c>
      <c r="Z266" s="2">
        <v>0.65503800599999995</v>
      </c>
      <c r="AA266" s="2">
        <v>8.140909465E-2</v>
      </c>
      <c r="AB266" s="2">
        <f>IFERROR(IF(A267=A266, Q266-X266, ""), "null")</f>
        <v>0.86278555999999751</v>
      </c>
    </row>
    <row r="267" spans="1:28">
      <c r="A267" s="2" t="s">
        <v>184</v>
      </c>
      <c r="B267" s="2" t="str">
        <f>VLOOKUP(A267,Regions!A:B,2,0)</f>
        <v>Latin America &amp; Caribbean</v>
      </c>
      <c r="C267" s="2">
        <v>2020</v>
      </c>
      <c r="D267" s="2" t="str">
        <f>IF(A268=A267,ABS(C268-C267),"")</f>
        <v/>
      </c>
      <c r="E267" s="2" t="str">
        <f>IFERROR(IF(A268=A267,((H267-H268)/(C267-C268)), ""), "null")</f>
        <v/>
      </c>
      <c r="F267" s="2">
        <v>128932.75</v>
      </c>
      <c r="G267" s="2">
        <v>80.730995179999994</v>
      </c>
      <c r="H267" s="2">
        <v>99.679568279999998</v>
      </c>
      <c r="I267" s="2">
        <f>IFERROR(ROUND(H267,0),"null")</f>
        <v>100</v>
      </c>
      <c r="J267" s="2" t="str">
        <f>IF(AND(A268=A267,I267=100,I268=100),"full access", " ")</f>
        <v xml:space="preserve"> </v>
      </c>
      <c r="K267" s="2">
        <v>0</v>
      </c>
      <c r="L267" s="2">
        <v>0.3204317169</v>
      </c>
      <c r="M267" s="2">
        <v>0</v>
      </c>
      <c r="N267" s="2">
        <v>98.337068930000001</v>
      </c>
      <c r="O267" s="2">
        <f>IFERROR(ROUND(N267,0),"null")</f>
        <v>98</v>
      </c>
      <c r="P267" s="2" t="str">
        <f>IF(AND(A267=A268,O267=100,O268=100),"full access"," ")</f>
        <v xml:space="preserve"> </v>
      </c>
      <c r="Q267" s="2" t="str">
        <f>IFERROR(IF(A268=A267,((N267-N268)/(C267-C268)),""),"null")</f>
        <v/>
      </c>
      <c r="R267" s="2">
        <v>0</v>
      </c>
      <c r="S267" s="2">
        <v>1.6629310669999999</v>
      </c>
      <c r="T267" s="2">
        <v>0</v>
      </c>
      <c r="U267" s="2">
        <v>100</v>
      </c>
      <c r="V267" s="2">
        <f>IFERROR(ROUND(U267,0),"null")</f>
        <v>100</v>
      </c>
      <c r="W267" s="2" t="str">
        <f>IF(AND(A267=A268,V267=100,V268=100),"full access","")</f>
        <v/>
      </c>
      <c r="X267" s="2" t="str">
        <f>IFERROR(IF(A268=A267,((U267-U268)/(C267-C268)),""),"null")</f>
        <v/>
      </c>
      <c r="Y267" s="2">
        <v>0</v>
      </c>
      <c r="Z267" s="2">
        <v>0</v>
      </c>
      <c r="AA267" s="2">
        <v>0</v>
      </c>
      <c r="AB267" s="2" t="str">
        <f>IFERROR(IF(A268=A267, Q267-X267, ""), "null")</f>
        <v/>
      </c>
    </row>
    <row r="268" spans="1:28">
      <c r="A268" s="2" t="s">
        <v>185</v>
      </c>
      <c r="B268" s="2" t="str">
        <f>VLOOKUP(A268,Regions!A:B,2,0)</f>
        <v>East Asia &amp; Pacific</v>
      </c>
      <c r="C268" s="2">
        <v>2015</v>
      </c>
      <c r="D268" s="2">
        <f>IF(A269=A268,ABS(C269-C268),"")</f>
        <v>4</v>
      </c>
      <c r="E268" s="2">
        <f>IFERROR(IF(A269=A268,((H268-H269)/(C268-C269)), ""), "null")</f>
        <v>0</v>
      </c>
      <c r="F268" s="2">
        <v>108.8860016</v>
      </c>
      <c r="G268" s="2">
        <v>22.455999370000001</v>
      </c>
      <c r="H268" s="2">
        <v>88.308156679999996</v>
      </c>
      <c r="I268" s="2">
        <f>IFERROR(ROUND(H268,0),"null")</f>
        <v>88</v>
      </c>
      <c r="J268" s="2" t="str">
        <f>IF(AND(A269=A268,I268=100,I269=100),"full access", " ")</f>
        <v xml:space="preserve"> </v>
      </c>
      <c r="K268" s="2">
        <v>0</v>
      </c>
      <c r="L268" s="2">
        <v>11.69184332</v>
      </c>
      <c r="M268" s="2" t="s">
        <v>45</v>
      </c>
      <c r="N268" s="2" t="s">
        <v>45</v>
      </c>
      <c r="O268" s="2" t="str">
        <f>IFERROR(ROUND(N268,0),"null")</f>
        <v>null</v>
      </c>
      <c r="P268" s="2" t="str">
        <f>IF(AND(A268=A269,O268=100,O269=100),"full access"," ")</f>
        <v xml:space="preserve"> </v>
      </c>
      <c r="Q268" s="2" t="str">
        <f>IFERROR(IF(A269=A268,((N268-N269)/(C268-C269)),""),"null")</f>
        <v>null</v>
      </c>
      <c r="R268" s="2" t="s">
        <v>45</v>
      </c>
      <c r="S268" s="2" t="s">
        <v>45</v>
      </c>
      <c r="T268" s="2" t="s">
        <v>45</v>
      </c>
      <c r="U268" s="2" t="s">
        <v>45</v>
      </c>
      <c r="V268" s="2" t="str">
        <f>IFERROR(ROUND(U268,0),"null")</f>
        <v>null</v>
      </c>
      <c r="W268" s="2" t="str">
        <f>IF(AND(A268=A269,V268=100,V269=100),"full access","")</f>
        <v/>
      </c>
      <c r="X268" s="2" t="str">
        <f>IFERROR(IF(A269=A268,((U268-U269)/(C268-C269)),""),"null")</f>
        <v>null</v>
      </c>
      <c r="Y268" s="2" t="s">
        <v>45</v>
      </c>
      <c r="Z268" s="2" t="s">
        <v>45</v>
      </c>
      <c r="AA268" s="2" t="s">
        <v>45</v>
      </c>
      <c r="AB268" s="2" t="str">
        <f>IFERROR(IF(A269=A268, Q268-X268, ""), "null")</f>
        <v>null</v>
      </c>
    </row>
    <row r="269" spans="1:28">
      <c r="A269" s="2" t="s">
        <v>185</v>
      </c>
      <c r="B269" s="2" t="str">
        <f>VLOOKUP(A269,Regions!A:B,2,0)</f>
        <v>East Asia &amp; Pacific</v>
      </c>
      <c r="C269" s="2">
        <v>2019</v>
      </c>
      <c r="D269" s="2" t="str">
        <f>IF(A270=A269,ABS(C270-C269),"")</f>
        <v/>
      </c>
      <c r="E269" s="2" t="str">
        <f>IFERROR(IF(A270=A269,((H269-H270)/(C269-C270)), ""), "null")</f>
        <v/>
      </c>
      <c r="F269" s="2">
        <v>113.810997</v>
      </c>
      <c r="G269" s="2">
        <v>22.812000269999999</v>
      </c>
      <c r="H269" s="2">
        <v>88.308156679999996</v>
      </c>
      <c r="I269" s="2">
        <f>IFERROR(ROUND(H269,0),"null")</f>
        <v>88</v>
      </c>
      <c r="J269" s="2" t="str">
        <f>IF(AND(A270=A269,I269=100,I270=100),"full access", " ")</f>
        <v xml:space="preserve"> </v>
      </c>
      <c r="K269" s="2">
        <v>0</v>
      </c>
      <c r="L269" s="2">
        <v>11.69184332</v>
      </c>
      <c r="M269" s="2" t="s">
        <v>45</v>
      </c>
      <c r="N269" s="2" t="s">
        <v>45</v>
      </c>
      <c r="O269" s="2" t="str">
        <f>IFERROR(ROUND(N269,0),"null")</f>
        <v>null</v>
      </c>
      <c r="P269" s="2" t="str">
        <f>IF(AND(A269=A270,O269=100,O270=100),"full access"," ")</f>
        <v xml:space="preserve"> </v>
      </c>
      <c r="Q269" s="2" t="str">
        <f>IFERROR(IF(A270=A269,((N269-N270)/(C269-C270)),""),"null")</f>
        <v/>
      </c>
      <c r="R269" s="2" t="s">
        <v>45</v>
      </c>
      <c r="S269" s="2" t="s">
        <v>45</v>
      </c>
      <c r="T269" s="2" t="s">
        <v>45</v>
      </c>
      <c r="U269" s="2" t="s">
        <v>45</v>
      </c>
      <c r="V269" s="2" t="str">
        <f>IFERROR(ROUND(U269,0),"null")</f>
        <v>null</v>
      </c>
      <c r="W269" s="2" t="str">
        <f>IF(AND(A269=A270,V269=100,V270=100),"full access","")</f>
        <v/>
      </c>
      <c r="X269" s="2" t="str">
        <f>IFERROR(IF(A270=A269,((U269-U270)/(C269-C270)),""),"null")</f>
        <v/>
      </c>
      <c r="Y269" s="2" t="s">
        <v>45</v>
      </c>
      <c r="Z269" s="2" t="s">
        <v>45</v>
      </c>
      <c r="AA269" s="2" t="s">
        <v>45</v>
      </c>
      <c r="AB269" s="2" t="str">
        <f>IFERROR(IF(A270=A269, Q269-X269, ""), "null")</f>
        <v/>
      </c>
    </row>
    <row r="270" spans="1:28">
      <c r="A270" s="2" t="s">
        <v>186</v>
      </c>
      <c r="B270" s="2" t="str">
        <f>VLOOKUP(A270,Regions!A:B,2,0)</f>
        <v>Europe &amp; Central Asia</v>
      </c>
      <c r="C270" s="2">
        <v>2015</v>
      </c>
      <c r="D270" s="2">
        <f>IF(A271=A270,ABS(C271-C270),"")</f>
        <v>5</v>
      </c>
      <c r="E270" s="2">
        <f>IFERROR(IF(A271=A270,((H270-H271)/(C270-C271)), ""), "null")</f>
        <v>0</v>
      </c>
      <c r="F270" s="2">
        <v>37.722999569999999</v>
      </c>
      <c r="G270" s="2">
        <v>100</v>
      </c>
      <c r="H270" s="2">
        <v>100</v>
      </c>
      <c r="I270" s="2">
        <f>IFERROR(ROUND(H270,0),"null")</f>
        <v>100</v>
      </c>
      <c r="J270" s="2" t="str">
        <f>IF(AND(A271=A270,I270=100,I271=100),"full access", " ")</f>
        <v>full access</v>
      </c>
      <c r="K270" s="2">
        <v>0</v>
      </c>
      <c r="L270" s="2">
        <v>0</v>
      </c>
      <c r="M270" s="2">
        <v>0</v>
      </c>
      <c r="N270" s="2" t="s">
        <v>45</v>
      </c>
      <c r="O270" s="2" t="str">
        <f>IFERROR(ROUND(N270,0),"null")</f>
        <v>null</v>
      </c>
      <c r="P270" s="2" t="str">
        <f>IF(AND(A270=A271,O270=100,O271=100),"full access"," ")</f>
        <v xml:space="preserve"> </v>
      </c>
      <c r="Q270" s="2" t="str">
        <f>IFERROR(IF(A271=A270,((N270-N271)/(C270-C271)),""),"null")</f>
        <v>null</v>
      </c>
      <c r="R270" s="2" t="s">
        <v>45</v>
      </c>
      <c r="S270" s="2" t="s">
        <v>45</v>
      </c>
      <c r="T270" s="2" t="s">
        <v>45</v>
      </c>
      <c r="U270" s="2">
        <v>100</v>
      </c>
      <c r="V270" s="2">
        <f>IFERROR(ROUND(U270,0),"null")</f>
        <v>100</v>
      </c>
      <c r="W270" s="2" t="str">
        <f>IF(AND(A270=A271,V270=100,V271=100),"full access","")</f>
        <v>full access</v>
      </c>
      <c r="X270" s="2">
        <f>IFERROR(IF(A271=A270,((U270-U271)/(C270-C271)),""),"null")</f>
        <v>0</v>
      </c>
      <c r="Y270" s="2">
        <v>0</v>
      </c>
      <c r="Z270" s="2">
        <v>0</v>
      </c>
      <c r="AA270" s="2">
        <v>0</v>
      </c>
      <c r="AB270" s="2" t="str">
        <f>IFERROR(IF(A271=A270, Q270-X270, ""), "null")</f>
        <v>null</v>
      </c>
    </row>
    <row r="271" spans="1:28">
      <c r="A271" s="2" t="s">
        <v>186</v>
      </c>
      <c r="B271" s="2" t="str">
        <f>VLOOKUP(A271,Regions!A:B,2,0)</f>
        <v>Europe &amp; Central Asia</v>
      </c>
      <c r="C271" s="2">
        <v>2020</v>
      </c>
      <c r="D271" s="2" t="str">
        <f>IF(A272=A271,ABS(C272-C271),"")</f>
        <v/>
      </c>
      <c r="E271" s="2" t="str">
        <f>IFERROR(IF(A272=A271,((H271-H272)/(C271-C272)), ""), "null")</f>
        <v/>
      </c>
      <c r="F271" s="2">
        <v>39.243999479999999</v>
      </c>
      <c r="G271" s="2">
        <v>100</v>
      </c>
      <c r="H271" s="2">
        <v>100</v>
      </c>
      <c r="I271" s="2">
        <f>IFERROR(ROUND(H271,0),"null")</f>
        <v>100</v>
      </c>
      <c r="J271" s="2" t="str">
        <f>IF(AND(A272=A271,I271=100,I272=100),"full access", " ")</f>
        <v xml:space="preserve"> </v>
      </c>
      <c r="K271" s="2">
        <v>0</v>
      </c>
      <c r="L271" s="2">
        <v>0</v>
      </c>
      <c r="M271" s="2">
        <v>0</v>
      </c>
      <c r="N271" s="2" t="s">
        <v>45</v>
      </c>
      <c r="O271" s="2" t="str">
        <f>IFERROR(ROUND(N271,0),"null")</f>
        <v>null</v>
      </c>
      <c r="P271" s="2" t="str">
        <f>IF(AND(A271=A272,O271=100,O272=100),"full access"," ")</f>
        <v xml:space="preserve"> </v>
      </c>
      <c r="Q271" s="2" t="str">
        <f>IFERROR(IF(A272=A271,((N271-N272)/(C271-C272)),""),"null")</f>
        <v/>
      </c>
      <c r="R271" s="2" t="s">
        <v>45</v>
      </c>
      <c r="S271" s="2" t="s">
        <v>45</v>
      </c>
      <c r="T271" s="2" t="s">
        <v>45</v>
      </c>
      <c r="U271" s="2">
        <v>100</v>
      </c>
      <c r="V271" s="2">
        <f>IFERROR(ROUND(U271,0),"null")</f>
        <v>100</v>
      </c>
      <c r="W271" s="2" t="str">
        <f>IF(AND(A271=A272,V271=100,V272=100),"full access","")</f>
        <v/>
      </c>
      <c r="X271" s="2" t="str">
        <f>IFERROR(IF(A272=A271,((U271-U272)/(C271-C272)),""),"null")</f>
        <v/>
      </c>
      <c r="Y271" s="2">
        <v>0</v>
      </c>
      <c r="Z271" s="2">
        <v>0</v>
      </c>
      <c r="AA271" s="2">
        <v>0</v>
      </c>
      <c r="AB271" s="2" t="str">
        <f>IFERROR(IF(A272=A271, Q271-X271, ""), "null")</f>
        <v/>
      </c>
    </row>
    <row r="272" spans="1:28">
      <c r="A272" s="2" t="s">
        <v>187</v>
      </c>
      <c r="B272" s="2" t="str">
        <f>VLOOKUP(A272,Regions!A:B,2,0)</f>
        <v>East Asia &amp; Pacific</v>
      </c>
      <c r="C272" s="2">
        <v>2015</v>
      </c>
      <c r="D272" s="2">
        <f>IF(A273=A272,ABS(C273-C272),"")</f>
        <v>5</v>
      </c>
      <c r="E272" s="2">
        <f>IFERROR(IF(A273=A272,((H272-H273)/(C272-C273)), ""), "null")</f>
        <v>0.93652263600000085</v>
      </c>
      <c r="F272" s="2">
        <v>2998.4331050000001</v>
      </c>
      <c r="G272" s="2">
        <v>68.229995729999999</v>
      </c>
      <c r="H272" s="2">
        <v>80.813012090000001</v>
      </c>
      <c r="I272" s="2">
        <f>IFERROR(ROUND(H272,0),"null")</f>
        <v>81</v>
      </c>
      <c r="J272" s="2" t="str">
        <f>IF(AND(A273=A272,I272=100,I273=100),"full access", " ")</f>
        <v xml:space="preserve"> </v>
      </c>
      <c r="K272" s="2">
        <v>3.905181378</v>
      </c>
      <c r="L272" s="2">
        <v>7.5786445809999998</v>
      </c>
      <c r="M272" s="2">
        <v>7.7031619500000001</v>
      </c>
      <c r="N272" s="2">
        <v>52.093888010000001</v>
      </c>
      <c r="O272" s="2">
        <f>IFERROR(ROUND(N272,0),"null")</f>
        <v>52</v>
      </c>
      <c r="P272" s="2" t="str">
        <f>IF(AND(A272=A273,O272=100,O273=100),"full access"," ")</f>
        <v xml:space="preserve"> </v>
      </c>
      <c r="Q272" s="2">
        <f>IFERROR(IF(A273=A272,((N272-N273)/(C272-C273)),""),"null")</f>
        <v>1.7953726259999996</v>
      </c>
      <c r="R272" s="2">
        <v>5.3335891499999999</v>
      </c>
      <c r="S272" s="2">
        <v>18.718643360000002</v>
      </c>
      <c r="T272" s="2">
        <v>23.85387948</v>
      </c>
      <c r="U272" s="2">
        <v>94.185527239999999</v>
      </c>
      <c r="V272" s="2">
        <f>IFERROR(ROUND(U272,0),"null")</f>
        <v>94</v>
      </c>
      <c r="W272" s="2" t="str">
        <f>IF(AND(A272=A273,V272=100,V273=100),"full access","")</f>
        <v/>
      </c>
      <c r="X272" s="2">
        <f>IFERROR(IF(A273=A272,((U272-U273)/(C272-C273)),""),"null")</f>
        <v>0.4920876679999992</v>
      </c>
      <c r="Y272" s="2">
        <v>3.240070405</v>
      </c>
      <c r="Z272" s="2">
        <v>2.3915155440000002</v>
      </c>
      <c r="AA272" s="2">
        <v>0.1828868106</v>
      </c>
      <c r="AB272" s="2">
        <f>IFERROR(IF(A273=A272, Q272-X272, ""), "null")</f>
        <v>1.3032849580000003</v>
      </c>
    </row>
    <row r="273" spans="1:28">
      <c r="A273" s="2" t="s">
        <v>187</v>
      </c>
      <c r="B273" s="2" t="str">
        <f>VLOOKUP(A273,Regions!A:B,2,0)</f>
        <v>East Asia &amp; Pacific</v>
      </c>
      <c r="C273" s="2">
        <v>2020</v>
      </c>
      <c r="D273" s="2" t="str">
        <f>IF(A274=A273,ABS(C274-C273),"")</f>
        <v/>
      </c>
      <c r="E273" s="2" t="str">
        <f>IFERROR(IF(A274=A273,((H273-H274)/(C273-C274)), ""), "null")</f>
        <v/>
      </c>
      <c r="F273" s="2">
        <v>3278.2919919999999</v>
      </c>
      <c r="G273" s="2">
        <v>68.656997680000003</v>
      </c>
      <c r="H273" s="2">
        <v>85.495625270000005</v>
      </c>
      <c r="I273" s="2">
        <f>IFERROR(ROUND(H273,0),"null")</f>
        <v>85</v>
      </c>
      <c r="J273" s="2" t="str">
        <f>IF(AND(A274=A273,I273=100,I274=100),"full access", " ")</f>
        <v xml:space="preserve"> </v>
      </c>
      <c r="K273" s="2">
        <v>2.1464289299999999</v>
      </c>
      <c r="L273" s="2">
        <v>6.6333667140000001</v>
      </c>
      <c r="M273" s="2">
        <v>5.7245790809999999</v>
      </c>
      <c r="N273" s="2">
        <v>61.070751139999999</v>
      </c>
      <c r="O273" s="2">
        <f>IFERROR(ROUND(N273,0),"null")</f>
        <v>61</v>
      </c>
      <c r="P273" s="2" t="str">
        <f>IF(AND(A273=A274,O273=100,O274=100),"full access"," ")</f>
        <v xml:space="preserve"> </v>
      </c>
      <c r="Q273" s="2" t="str">
        <f>IFERROR(IF(A274=A273,((N273-N274)/(C273-C274)),""),"null")</f>
        <v/>
      </c>
      <c r="R273" s="2">
        <v>3.0841705720000001</v>
      </c>
      <c r="S273" s="2">
        <v>17.580781160000001</v>
      </c>
      <c r="T273" s="2">
        <v>18.264297129999999</v>
      </c>
      <c r="U273" s="2">
        <v>96.645965579999995</v>
      </c>
      <c r="V273" s="2">
        <f>IFERROR(ROUND(U273,0),"null")</f>
        <v>97</v>
      </c>
      <c r="W273" s="2" t="str">
        <f>IF(AND(A273=A274,V273=100,V274=100),"full access","")</f>
        <v/>
      </c>
      <c r="X273" s="2" t="str">
        <f>IFERROR(IF(A274=A273,((U273-U274)/(C273-C274)),""),"null")</f>
        <v/>
      </c>
      <c r="Y273" s="2">
        <v>1.718335079</v>
      </c>
      <c r="Z273" s="2">
        <v>1.635699341</v>
      </c>
      <c r="AA273" s="2">
        <v>0</v>
      </c>
      <c r="AB273" s="2" t="str">
        <f>IFERROR(IF(A274=A273, Q273-X273, ""), "null")</f>
        <v/>
      </c>
    </row>
    <row r="274" spans="1:28">
      <c r="A274" s="2" t="s">
        <v>188</v>
      </c>
      <c r="B274" s="2" t="str">
        <f>VLOOKUP(A274,Regions!A:B,2,0)</f>
        <v>Europe &amp; Central Asia</v>
      </c>
      <c r="C274" s="2">
        <v>2015</v>
      </c>
      <c r="D274" s="2">
        <f>IF(A275=A274,ABS(C275-C274),"")</f>
        <v>5</v>
      </c>
      <c r="E274" s="2">
        <f>IFERROR(IF(A275=A274,((H274-H275)/(C274-C275)), ""), "null")</f>
        <v>0.29312423000000082</v>
      </c>
      <c r="F274" s="2">
        <v>626.9569702</v>
      </c>
      <c r="G274" s="2">
        <v>65.805999760000006</v>
      </c>
      <c r="H274" s="2">
        <v>97.391295369999995</v>
      </c>
      <c r="I274" s="2">
        <f>IFERROR(ROUND(H274,0),"null")</f>
        <v>97</v>
      </c>
      <c r="J274" s="2" t="str">
        <f>IF(AND(A275=A274,I274=100,I275=100),"full access", " ")</f>
        <v xml:space="preserve"> </v>
      </c>
      <c r="K274" s="2">
        <v>1.68690191</v>
      </c>
      <c r="L274" s="2">
        <v>0.88144584619999999</v>
      </c>
      <c r="M274" s="2">
        <v>4.035686954E-2</v>
      </c>
      <c r="N274" s="2">
        <v>95.96066218</v>
      </c>
      <c r="O274" s="2">
        <f>IFERROR(ROUND(N274,0),"null")</f>
        <v>96</v>
      </c>
      <c r="P274" s="2" t="str">
        <f>IF(AND(A274=A275,O274=100,O275=100),"full access"," ")</f>
        <v xml:space="preserve"> </v>
      </c>
      <c r="Q274" s="2">
        <f>IFERROR(IF(A275=A274,((N274-N275)/(C274-C275)),""),"null")</f>
        <v>0.44024507199999902</v>
      </c>
      <c r="R274" s="2">
        <v>1.539303155</v>
      </c>
      <c r="S274" s="2">
        <v>2.3820114100000001</v>
      </c>
      <c r="T274" s="2">
        <v>0.1180232558</v>
      </c>
      <c r="U274" s="2">
        <v>98.134678449999996</v>
      </c>
      <c r="V274" s="2">
        <f>IFERROR(ROUND(U274,0),"null")</f>
        <v>98</v>
      </c>
      <c r="W274" s="2" t="str">
        <f>IF(AND(A274=A275,V274=100,V275=100),"full access","")</f>
        <v/>
      </c>
      <c r="X274" s="2">
        <f>IFERROR(IF(A275=A274,((U274-U275)/(C274-C275)),""),"null")</f>
        <v>0.21141222800000037</v>
      </c>
      <c r="Y274" s="2">
        <v>1.763596913</v>
      </c>
      <c r="Z274" s="2">
        <v>0.10172463599999999</v>
      </c>
      <c r="AA274" s="2">
        <v>0</v>
      </c>
      <c r="AB274" s="2">
        <f>IFERROR(IF(A275=A274, Q274-X274, ""), "null")</f>
        <v>0.22883284399999865</v>
      </c>
    </row>
    <row r="275" spans="1:28">
      <c r="A275" s="2" t="s">
        <v>188</v>
      </c>
      <c r="B275" s="2" t="str">
        <f>VLOOKUP(A275,Regions!A:B,2,0)</f>
        <v>Europe &amp; Central Asia</v>
      </c>
      <c r="C275" s="2">
        <v>2020</v>
      </c>
      <c r="D275" s="2" t="str">
        <f>IF(A276=A275,ABS(C276-C275),"")</f>
        <v/>
      </c>
      <c r="E275" s="2" t="str">
        <f>IFERROR(IF(A276=A275,((H275-H276)/(C275-C276)), ""), "null")</f>
        <v/>
      </c>
      <c r="F275" s="2">
        <v>628.06201169999997</v>
      </c>
      <c r="G275" s="2">
        <v>67.488006589999998</v>
      </c>
      <c r="H275" s="2">
        <v>98.856916519999999</v>
      </c>
      <c r="I275" s="2">
        <f>IFERROR(ROUND(H275,0),"null")</f>
        <v>99</v>
      </c>
      <c r="J275" s="2" t="str">
        <f>IF(AND(A276=A275,I275=100,I276=100),"full access", " ")</f>
        <v xml:space="preserve"> </v>
      </c>
      <c r="K275" s="2">
        <v>0.54547882039999995</v>
      </c>
      <c r="L275" s="2">
        <v>0.59231201099999997</v>
      </c>
      <c r="M275" s="2">
        <v>5.2926508940000002E-3</v>
      </c>
      <c r="N275" s="2">
        <v>98.161887539999995</v>
      </c>
      <c r="O275" s="2">
        <f>IFERROR(ROUND(N275,0),"null")</f>
        <v>98</v>
      </c>
      <c r="P275" s="2" t="str">
        <f>IF(AND(A275=A276,O275=100,O276=100),"full access"," ")</f>
        <v xml:space="preserve"> </v>
      </c>
      <c r="Q275" s="2" t="str">
        <f>IFERROR(IF(A276=A275,((N275-N276)/(C275-C276)),""),"null")</f>
        <v/>
      </c>
      <c r="R275" s="2">
        <v>0</v>
      </c>
      <c r="S275" s="2">
        <v>1.821833386</v>
      </c>
      <c r="T275" s="2">
        <v>1.6279069770000001E-2</v>
      </c>
      <c r="U275" s="2">
        <v>99.191739589999997</v>
      </c>
      <c r="V275" s="2">
        <f>IFERROR(ROUND(U275,0),"null")</f>
        <v>99</v>
      </c>
      <c r="W275" s="2" t="str">
        <f>IF(AND(A275=A276,V275=100,V276=100),"full access","")</f>
        <v/>
      </c>
      <c r="X275" s="2" t="str">
        <f>IFERROR(IF(A276=A275,((U275-U276)/(C275-C276)),""),"null")</f>
        <v/>
      </c>
      <c r="Y275" s="2">
        <v>0.80826041280000005</v>
      </c>
      <c r="Z275" s="2">
        <v>0</v>
      </c>
      <c r="AA275" s="2">
        <v>0</v>
      </c>
      <c r="AB275" s="2" t="str">
        <f>IFERROR(IF(A276=A275, Q275-X275, ""), "null")</f>
        <v/>
      </c>
    </row>
    <row r="276" spans="1:28">
      <c r="A276" s="2" t="s">
        <v>189</v>
      </c>
      <c r="B276" s="2" t="str">
        <f>VLOOKUP(A276,Regions!A:B,2,0)</f>
        <v>Latin America &amp; Caribbean</v>
      </c>
      <c r="C276" s="2">
        <v>2015</v>
      </c>
      <c r="D276" s="2">
        <f>IF(A277=A276,ABS(C277-C276),"")</f>
        <v>5</v>
      </c>
      <c r="E276" s="2">
        <f>IFERROR(IF(A277=A276,((H276-H277)/(C276-C277)), ""), "null")</f>
        <v>1.3324119999992945E-3</v>
      </c>
      <c r="F276" s="2">
        <v>4.9660000799999997</v>
      </c>
      <c r="G276" s="2">
        <v>9.0410003660000005</v>
      </c>
      <c r="H276" s="2">
        <v>98.070820560000001</v>
      </c>
      <c r="I276" s="2">
        <f>IFERROR(ROUND(H276,0),"null")</f>
        <v>98</v>
      </c>
      <c r="J276" s="2" t="str">
        <f>IF(AND(A277=A276,I276=100,I277=100),"full access", " ")</f>
        <v xml:space="preserve"> </v>
      </c>
      <c r="K276" s="2">
        <v>0</v>
      </c>
      <c r="L276" s="2">
        <v>1.9291794390000001</v>
      </c>
      <c r="M276" s="2">
        <v>0</v>
      </c>
      <c r="N276" s="2" t="s">
        <v>45</v>
      </c>
      <c r="O276" s="2" t="str">
        <f>IFERROR(ROUND(N276,0),"null")</f>
        <v>null</v>
      </c>
      <c r="P276" s="2" t="str">
        <f>IF(AND(A276=A277,O276=100,O277=100),"full access"," ")</f>
        <v xml:space="preserve"> </v>
      </c>
      <c r="Q276" s="2" t="str">
        <f>IFERROR(IF(A277=A276,((N276-N277)/(C276-C277)),""),"null")</f>
        <v>null</v>
      </c>
      <c r="R276" s="2" t="s">
        <v>45</v>
      </c>
      <c r="S276" s="2" t="s">
        <v>45</v>
      </c>
      <c r="T276" s="2" t="s">
        <v>45</v>
      </c>
      <c r="U276" s="2" t="s">
        <v>45</v>
      </c>
      <c r="V276" s="2" t="str">
        <f>IFERROR(ROUND(U276,0),"null")</f>
        <v>null</v>
      </c>
      <c r="W276" s="2" t="str">
        <f>IF(AND(A276=A277,V276=100,V277=100),"full access","")</f>
        <v/>
      </c>
      <c r="X276" s="2" t="str">
        <f>IFERROR(IF(A277=A276,((U276-U277)/(C276-C277)),""),"null")</f>
        <v>null</v>
      </c>
      <c r="Y276" s="2" t="s">
        <v>45</v>
      </c>
      <c r="Z276" s="2" t="s">
        <v>45</v>
      </c>
      <c r="AA276" s="2" t="s">
        <v>45</v>
      </c>
      <c r="AB276" s="2" t="str">
        <f>IFERROR(IF(A277=A276, Q276-X276, ""), "null")</f>
        <v>null</v>
      </c>
    </row>
    <row r="277" spans="1:28">
      <c r="A277" s="2" t="s">
        <v>189</v>
      </c>
      <c r="B277" s="2" t="str">
        <f>VLOOKUP(A277,Regions!A:B,2,0)</f>
        <v>Latin America &amp; Caribbean</v>
      </c>
      <c r="C277" s="2">
        <v>2020</v>
      </c>
      <c r="D277" s="2" t="str">
        <f>IF(A278=A277,ABS(C278-C277),"")</f>
        <v/>
      </c>
      <c r="E277" s="2" t="str">
        <f>IFERROR(IF(A278=A277,((H277-H278)/(C277-C278)), ""), "null")</f>
        <v/>
      </c>
      <c r="F277" s="2">
        <v>4.9990000720000003</v>
      </c>
      <c r="G277" s="2">
        <v>9.1149997710000008</v>
      </c>
      <c r="H277" s="2">
        <v>98.077482619999998</v>
      </c>
      <c r="I277" s="2">
        <f>IFERROR(ROUND(H277,0),"null")</f>
        <v>98</v>
      </c>
      <c r="J277" s="2" t="str">
        <f>IF(AND(A278=A277,I277=100,I278=100),"full access", " ")</f>
        <v xml:space="preserve"> </v>
      </c>
      <c r="K277" s="2">
        <v>0</v>
      </c>
      <c r="L277" s="2">
        <v>1.922517378</v>
      </c>
      <c r="M277" s="2">
        <v>0</v>
      </c>
      <c r="N277" s="2" t="s">
        <v>45</v>
      </c>
      <c r="O277" s="2" t="str">
        <f>IFERROR(ROUND(N277,0),"null")</f>
        <v>null</v>
      </c>
      <c r="P277" s="2" t="str">
        <f>IF(AND(A277=A278,O277=100,O278=100),"full access"," ")</f>
        <v xml:space="preserve"> </v>
      </c>
      <c r="Q277" s="2" t="str">
        <f>IFERROR(IF(A278=A277,((N277-N278)/(C277-C278)),""),"null")</f>
        <v/>
      </c>
      <c r="R277" s="2" t="s">
        <v>45</v>
      </c>
      <c r="S277" s="2" t="s">
        <v>45</v>
      </c>
      <c r="T277" s="2" t="s">
        <v>45</v>
      </c>
      <c r="U277" s="2" t="s">
        <v>45</v>
      </c>
      <c r="V277" s="2" t="str">
        <f>IFERROR(ROUND(U277,0),"null")</f>
        <v>null</v>
      </c>
      <c r="W277" s="2" t="str">
        <f>IF(AND(A277=A278,V277=100,V278=100),"full access","")</f>
        <v/>
      </c>
      <c r="X277" s="2" t="str">
        <f>IFERROR(IF(A278=A277,((U277-U278)/(C277-C278)),""),"null")</f>
        <v/>
      </c>
      <c r="Y277" s="2" t="s">
        <v>45</v>
      </c>
      <c r="Z277" s="2" t="s">
        <v>45</v>
      </c>
      <c r="AA277" s="2" t="s">
        <v>45</v>
      </c>
      <c r="AB277" s="2" t="str">
        <f>IFERROR(IF(A278=A277, Q277-X277, ""), "null")</f>
        <v/>
      </c>
    </row>
    <row r="278" spans="1:28">
      <c r="A278" s="2" t="s">
        <v>190</v>
      </c>
      <c r="B278" s="2" t="str">
        <f>VLOOKUP(A278,Regions!A:B,2,0)</f>
        <v>Middle East &amp; North Africa</v>
      </c>
      <c r="C278" s="2">
        <v>2015</v>
      </c>
      <c r="D278" s="2">
        <f>IF(A279=A278,ABS(C279-C278),"")</f>
        <v>5</v>
      </c>
      <c r="E278" s="2">
        <f>IFERROR(IF(A279=A278,((H278-H279)/(C278-C279)), ""), "null")</f>
        <v>1.3302423599999997</v>
      </c>
      <c r="F278" s="2">
        <v>34663.609380000002</v>
      </c>
      <c r="G278" s="2">
        <v>60.808998109999997</v>
      </c>
      <c r="H278" s="2">
        <v>83.75113288</v>
      </c>
      <c r="I278" s="2">
        <f>IFERROR(ROUND(H278,0),"null")</f>
        <v>84</v>
      </c>
      <c r="J278" s="2" t="str">
        <f>IF(AND(A279=A278,I278=100,I279=100),"full access", " ")</f>
        <v xml:space="preserve"> </v>
      </c>
      <c r="K278" s="2">
        <v>5.9371884149999996</v>
      </c>
      <c r="L278" s="2">
        <v>8.5178818580000009</v>
      </c>
      <c r="M278" s="2">
        <v>1.793796851</v>
      </c>
      <c r="N278" s="2">
        <v>64.172528740000004</v>
      </c>
      <c r="O278" s="2">
        <f>IFERROR(ROUND(N278,0),"null")</f>
        <v>64</v>
      </c>
      <c r="P278" s="2" t="str">
        <f>IF(AND(A278=A279,O278=100,O279=100),"full access"," ")</f>
        <v xml:space="preserve"> </v>
      </c>
      <c r="Q278" s="2">
        <f>IFERROR(IF(A279=A278,((N278-N279)/(C278-C279)),""),"null")</f>
        <v>2.6347200439999994</v>
      </c>
      <c r="R278" s="2">
        <v>12.25581871</v>
      </c>
      <c r="S278" s="2">
        <v>19.029579640000001</v>
      </c>
      <c r="T278" s="2">
        <v>4.5420729140000002</v>
      </c>
      <c r="U278" s="2">
        <v>96.369415020000005</v>
      </c>
      <c r="V278" s="2">
        <f>IFERROR(ROUND(U278,0),"null")</f>
        <v>96</v>
      </c>
      <c r="W278" s="2" t="str">
        <f>IF(AND(A278=A279,V278=100,V279=100),"full access","")</f>
        <v/>
      </c>
      <c r="X278" s="2">
        <f>IFERROR(IF(A279=A278,((U278-U279)/(C278-C279)),""),"null")</f>
        <v>0.30546619799999919</v>
      </c>
      <c r="Y278" s="2">
        <v>1.864872571</v>
      </c>
      <c r="Z278" s="2">
        <v>1.743161481</v>
      </c>
      <c r="AA278" s="2">
        <v>2.255092798E-2</v>
      </c>
      <c r="AB278" s="2">
        <f>IFERROR(IF(A279=A278, Q278-X278, ""), "null")</f>
        <v>2.3292538460000003</v>
      </c>
    </row>
    <row r="279" spans="1:28">
      <c r="A279" s="2" t="s">
        <v>190</v>
      </c>
      <c r="B279" s="2" t="str">
        <f>VLOOKUP(A279,Regions!A:B,2,0)</f>
        <v>Middle East &amp; North Africa</v>
      </c>
      <c r="C279" s="2">
        <v>2020</v>
      </c>
      <c r="D279" s="2" t="str">
        <f>IF(A280=A279,ABS(C280-C279),"")</f>
        <v/>
      </c>
      <c r="E279" s="2" t="str">
        <f>IFERROR(IF(A280=A279,((H279-H280)/(C279-C280)), ""), "null")</f>
        <v/>
      </c>
      <c r="F279" s="2">
        <v>36910.558590000001</v>
      </c>
      <c r="G279" s="2">
        <v>63.531997680000003</v>
      </c>
      <c r="H279" s="2">
        <v>90.402344679999999</v>
      </c>
      <c r="I279" s="2">
        <f>IFERROR(ROUND(H279,0),"null")</f>
        <v>90</v>
      </c>
      <c r="J279" s="2" t="str">
        <f>IF(AND(A280=A279,I279=100,I280=100),"full access", " ")</f>
        <v xml:space="preserve"> </v>
      </c>
      <c r="K279" s="2">
        <v>5.2635496010000002</v>
      </c>
      <c r="L279" s="2">
        <v>2.8776725000000001</v>
      </c>
      <c r="M279" s="2">
        <v>1.456433219</v>
      </c>
      <c r="N279" s="2">
        <v>77.346128960000001</v>
      </c>
      <c r="O279" s="2">
        <f>IFERROR(ROUND(N279,0),"null")</f>
        <v>77</v>
      </c>
      <c r="P279" s="2" t="str">
        <f>IF(AND(A279=A280,O279=100,O280=100),"full access"," ")</f>
        <v xml:space="preserve"> </v>
      </c>
      <c r="Q279" s="2" t="str">
        <f>IFERROR(IF(A280=A279,((N279-N280)/(C279-C280)),""),"null")</f>
        <v/>
      </c>
      <c r="R279" s="2">
        <v>12.03707816</v>
      </c>
      <c r="S279" s="2">
        <v>6.6230633729999999</v>
      </c>
      <c r="T279" s="2">
        <v>3.9937295019999999</v>
      </c>
      <c r="U279" s="2">
        <v>97.896746010000001</v>
      </c>
      <c r="V279" s="2">
        <f>IFERROR(ROUND(U279,0),"null")</f>
        <v>98</v>
      </c>
      <c r="W279" s="2" t="str">
        <f>IF(AND(A279=A280,V279=100,V280=100),"full access","")</f>
        <v/>
      </c>
      <c r="X279" s="2" t="str">
        <f>IFERROR(IF(A280=A279,((U279-U280)/(C279-C280)),""),"null")</f>
        <v/>
      </c>
      <c r="Y279" s="2">
        <v>1.375477117</v>
      </c>
      <c r="Z279" s="2">
        <v>0.72777687589999995</v>
      </c>
      <c r="AA279" s="2">
        <v>0</v>
      </c>
      <c r="AB279" s="2" t="str">
        <f>IFERROR(IF(A280=A279, Q279-X279, ""), "null")</f>
        <v/>
      </c>
    </row>
    <row r="280" spans="1:28">
      <c r="A280" s="2" t="s">
        <v>191</v>
      </c>
      <c r="B280" s="2" t="str">
        <f>VLOOKUP(A280,Regions!A:B,2,0)</f>
        <v>Sub-Saharan Africa</v>
      </c>
      <c r="C280" s="2">
        <v>2015</v>
      </c>
      <c r="D280" s="2">
        <f>IF(A281=A280,ABS(C281-C280),"")</f>
        <v>5</v>
      </c>
      <c r="E280" s="2">
        <f>IFERROR(IF(A281=A280,((H280-H281)/(C280-C281)), ""), "null")</f>
        <v>2.4386500840000012</v>
      </c>
      <c r="F280" s="2">
        <v>27042.001950000002</v>
      </c>
      <c r="G280" s="2">
        <v>34.400001529999997</v>
      </c>
      <c r="H280" s="2">
        <v>51.176175209999997</v>
      </c>
      <c r="I280" s="2">
        <f>IFERROR(ROUND(H280,0),"null")</f>
        <v>51</v>
      </c>
      <c r="J280" s="2" t="str">
        <f>IF(AND(A281=A280,I280=100,I281=100),"full access", " ")</f>
        <v xml:space="preserve"> </v>
      </c>
      <c r="K280" s="2">
        <v>10.3714084</v>
      </c>
      <c r="L280" s="2">
        <v>26.513493149999999</v>
      </c>
      <c r="M280" s="2">
        <v>11.938923239999999</v>
      </c>
      <c r="N280" s="2">
        <v>35.97137876</v>
      </c>
      <c r="O280" s="2">
        <f>IFERROR(ROUND(N280,0),"null")</f>
        <v>36</v>
      </c>
      <c r="P280" s="2" t="str">
        <f>IF(AND(A280=A281,O280=100,O281=100),"full access"," ")</f>
        <v xml:space="preserve"> </v>
      </c>
      <c r="Q280" s="2">
        <f>IFERROR(IF(A281=A280,((N280-N281)/(C280-C281)),""),"null")</f>
        <v>2.5790615479999999</v>
      </c>
      <c r="R280" s="2">
        <v>12.36707992</v>
      </c>
      <c r="S280" s="2">
        <v>34.814873949999999</v>
      </c>
      <c r="T280" s="2">
        <v>16.846667360000001</v>
      </c>
      <c r="U280" s="2">
        <v>80.171365829999999</v>
      </c>
      <c r="V280" s="2">
        <f>IFERROR(ROUND(U280,0),"null")</f>
        <v>80</v>
      </c>
      <c r="W280" s="2" t="str">
        <f>IF(AND(A280=A281,V280=100,V281=100),"full access","")</f>
        <v/>
      </c>
      <c r="X280" s="2">
        <f>IFERROR(IF(A281=A280,((U280-U281)/(C280-C281)),""),"null")</f>
        <v>1.5627364180000001</v>
      </c>
      <c r="Y280" s="2">
        <v>6.5657095710000002</v>
      </c>
      <c r="Z280" s="2">
        <v>10.68295442</v>
      </c>
      <c r="AA280" s="2">
        <v>2.5799701810000002</v>
      </c>
      <c r="AB280" s="2">
        <f>IFERROR(IF(A281=A280, Q280-X280, ""), "null")</f>
        <v>1.0163251299999998</v>
      </c>
    </row>
    <row r="281" spans="1:28">
      <c r="A281" s="2" t="s">
        <v>191</v>
      </c>
      <c r="B281" s="2" t="str">
        <f>VLOOKUP(A281,Regions!A:B,2,0)</f>
        <v>Sub-Saharan Africa</v>
      </c>
      <c r="C281" s="2">
        <v>2020</v>
      </c>
      <c r="D281" s="2" t="str">
        <f>IF(A282=A281,ABS(C282-C281),"")</f>
        <v/>
      </c>
      <c r="E281" s="2" t="str">
        <f>IFERROR(IF(A282=A281,((H281-H282)/(C281-C282)), ""), "null")</f>
        <v/>
      </c>
      <c r="F281" s="2">
        <v>31255.435549999998</v>
      </c>
      <c r="G281" s="2">
        <v>37.073997499999997</v>
      </c>
      <c r="H281" s="2">
        <v>63.369425630000002</v>
      </c>
      <c r="I281" s="2">
        <f>IFERROR(ROUND(H281,0),"null")</f>
        <v>63</v>
      </c>
      <c r="J281" s="2" t="str">
        <f>IF(AND(A282=A281,I281=100,I282=100),"full access", " ")</f>
        <v xml:space="preserve"> </v>
      </c>
      <c r="K281" s="2">
        <v>9.9757845070000002</v>
      </c>
      <c r="L281" s="2">
        <v>16.726145110000001</v>
      </c>
      <c r="M281" s="2">
        <v>9.9286447590000009</v>
      </c>
      <c r="N281" s="2">
        <v>48.8666865</v>
      </c>
      <c r="O281" s="2">
        <f>IFERROR(ROUND(N281,0),"null")</f>
        <v>49</v>
      </c>
      <c r="P281" s="2" t="str">
        <f>IF(AND(A281=A282,O281=100,O282=100),"full access"," ")</f>
        <v xml:space="preserve"> </v>
      </c>
      <c r="Q281" s="2" t="str">
        <f>IFERROR(IF(A282=A281,((N281-N282)/(C281-C282)),""),"null")</f>
        <v/>
      </c>
      <c r="R281" s="2">
        <v>12.64088359</v>
      </c>
      <c r="S281" s="2">
        <v>23.686256400000001</v>
      </c>
      <c r="T281" s="2">
        <v>14.80617352</v>
      </c>
      <c r="U281" s="2">
        <v>87.98504792</v>
      </c>
      <c r="V281" s="2">
        <f>IFERROR(ROUND(U281,0),"null")</f>
        <v>88</v>
      </c>
      <c r="W281" s="2" t="str">
        <f>IF(AND(A281=A282,V281=100,V282=100),"full access","")</f>
        <v/>
      </c>
      <c r="X281" s="2" t="str">
        <f>IFERROR(IF(A282=A281,((U281-U282)/(C281-C282)),""),"null")</f>
        <v/>
      </c>
      <c r="Y281" s="2">
        <v>5.4522910270000002</v>
      </c>
      <c r="Z281" s="2">
        <v>4.9126846439999996</v>
      </c>
      <c r="AA281" s="2">
        <v>1.649976404</v>
      </c>
      <c r="AB281" s="2" t="str">
        <f>IFERROR(IF(A282=A281, Q281-X281, ""), "null")</f>
        <v/>
      </c>
    </row>
    <row r="282" spans="1:28">
      <c r="A282" s="2" t="s">
        <v>192</v>
      </c>
      <c r="B282" s="2" t="str">
        <f>VLOOKUP(A282,Regions!A:B,2,0)</f>
        <v>East Asia &amp; Pacific</v>
      </c>
      <c r="C282" s="2">
        <v>2015</v>
      </c>
      <c r="D282" s="2">
        <f>IF(A283=A282,ABS(C283-C282),"")</f>
        <v>5</v>
      </c>
      <c r="E282" s="2">
        <f>IFERROR(IF(A283=A282,((H282-H283)/(C282-C283)), ""), "null")</f>
        <v>2.0261442820000015</v>
      </c>
      <c r="F282" s="2">
        <v>52680.722659999999</v>
      </c>
      <c r="G282" s="2">
        <v>29.857999800000002</v>
      </c>
      <c r="H282" s="2">
        <v>73.587470499999995</v>
      </c>
      <c r="I282" s="2">
        <f>IFERROR(ROUND(H282,0),"null")</f>
        <v>74</v>
      </c>
      <c r="J282" s="2" t="str">
        <f>IF(AND(A283=A282,I282=100,I283=100),"full access", " ")</f>
        <v xml:space="preserve"> </v>
      </c>
      <c r="K282" s="2">
        <v>6.8355322689999998</v>
      </c>
      <c r="L282" s="2">
        <v>8.269037119</v>
      </c>
      <c r="M282" s="2">
        <v>11.30796011</v>
      </c>
      <c r="N282" s="2">
        <v>67.249613539999999</v>
      </c>
      <c r="O282" s="2">
        <f>IFERROR(ROUND(N282,0),"null")</f>
        <v>67</v>
      </c>
      <c r="P282" s="2" t="str">
        <f>IF(AND(A282=A283,O282=100,O283=100),"full access"," ")</f>
        <v xml:space="preserve"> </v>
      </c>
      <c r="Q282" s="2">
        <f>IFERROR(IF(A283=A282,((N282-N283)/(C282-C283)),""),"null")</f>
        <v>2.2345902300000007</v>
      </c>
      <c r="R282" s="2">
        <v>8.0422803540000007</v>
      </c>
      <c r="S282" s="2">
        <v>10.1459869</v>
      </c>
      <c r="T282" s="2">
        <v>14.562119210000001</v>
      </c>
      <c r="U282" s="2">
        <v>88.476276290000001</v>
      </c>
      <c r="V282" s="2">
        <f>IFERROR(ROUND(U282,0),"null")</f>
        <v>88</v>
      </c>
      <c r="W282" s="2" t="str">
        <f>IF(AND(A282=A283,V282=100,V283=100),"full access","")</f>
        <v/>
      </c>
      <c r="X282" s="2">
        <f>IFERROR(IF(A283=A282,((U282-U283)/(C282-C283)),""),"null")</f>
        <v>1.3903219540000009</v>
      </c>
      <c r="Y282" s="2">
        <v>4.0006563789999996</v>
      </c>
      <c r="Z282" s="2">
        <v>3.859732696</v>
      </c>
      <c r="AA282" s="2">
        <v>3.6633346320000002</v>
      </c>
      <c r="AB282" s="2">
        <f>IFERROR(IF(A283=A282, Q282-X282, ""), "null")</f>
        <v>0.84426827599999976</v>
      </c>
    </row>
    <row r="283" spans="1:28">
      <c r="A283" s="2" t="s">
        <v>192</v>
      </c>
      <c r="B283" s="2" t="str">
        <f>VLOOKUP(A283,Regions!A:B,2,0)</f>
        <v>East Asia &amp; Pacific</v>
      </c>
      <c r="C283" s="2">
        <v>2020</v>
      </c>
      <c r="D283" s="2" t="str">
        <f>IF(A284=A283,ABS(C284-C283),"")</f>
        <v/>
      </c>
      <c r="E283" s="2" t="str">
        <f>IFERROR(IF(A284=A283,((H283-H284)/(C283-C284)), ""), "null")</f>
        <v/>
      </c>
      <c r="F283" s="2">
        <v>54409.792970000002</v>
      </c>
      <c r="G283" s="2">
        <v>31.14100075</v>
      </c>
      <c r="H283" s="2">
        <v>83.718191910000002</v>
      </c>
      <c r="I283" s="2">
        <f>IFERROR(ROUND(H283,0),"null")</f>
        <v>84</v>
      </c>
      <c r="J283" s="2" t="str">
        <f>IF(AND(A284=A283,I283=100,I284=100),"full access", " ")</f>
        <v xml:space="preserve"> </v>
      </c>
      <c r="K283" s="2">
        <v>1.595436949</v>
      </c>
      <c r="L283" s="2">
        <v>5.1094247800000003</v>
      </c>
      <c r="M283" s="2">
        <v>9.5769463619999993</v>
      </c>
      <c r="N283" s="2">
        <v>78.422564690000002</v>
      </c>
      <c r="O283" s="2">
        <f>IFERROR(ROUND(N283,0),"null")</f>
        <v>78</v>
      </c>
      <c r="P283" s="2" t="str">
        <f>IF(AND(A283=A284,O283=100,O284=100),"full access"," ")</f>
        <v xml:space="preserve"> </v>
      </c>
      <c r="Q283" s="2" t="str">
        <f>IFERROR(IF(A284=A283,((N283-N284)/(C283-C284)),""),"null")</f>
        <v/>
      </c>
      <c r="R283" s="2">
        <v>2.3169621419999999</v>
      </c>
      <c r="S283" s="2">
        <v>6.5923936940000001</v>
      </c>
      <c r="T283" s="2">
        <v>12.66807947</v>
      </c>
      <c r="U283" s="2">
        <v>95.427886060000006</v>
      </c>
      <c r="V283" s="2">
        <f>IFERROR(ROUND(U283,0),"null")</f>
        <v>95</v>
      </c>
      <c r="W283" s="2" t="str">
        <f>IF(AND(A283=A284,V283=100,V284=100),"full access","")</f>
        <v/>
      </c>
      <c r="X283" s="2" t="str">
        <f>IFERROR(IF(A284=A283,((U283-U284)/(C283-C284)),""),"null")</f>
        <v/>
      </c>
      <c r="Y283" s="2">
        <v>0</v>
      </c>
      <c r="Z283" s="2">
        <v>1.8302830059999999</v>
      </c>
      <c r="AA283" s="2">
        <v>2.741830931</v>
      </c>
      <c r="AB283" s="2" t="str">
        <f>IFERROR(IF(A284=A283, Q283-X283, ""), "null")</f>
        <v/>
      </c>
    </row>
    <row r="284" spans="1:28">
      <c r="A284" s="2" t="s">
        <v>193</v>
      </c>
      <c r="B284" s="2" t="str">
        <f>VLOOKUP(A284,Regions!A:B,2,0)</f>
        <v>Sub-Saharan Africa</v>
      </c>
      <c r="C284" s="2">
        <v>2015</v>
      </c>
      <c r="D284" s="2">
        <f>IF(A285=A284,ABS(C285-C284),"")</f>
        <v>5</v>
      </c>
      <c r="E284" s="2">
        <f>IFERROR(IF(A285=A284,((H284-H285)/(C284-C285)), ""), "null")</f>
        <v>0.34918022599999859</v>
      </c>
      <c r="F284" s="2">
        <v>2314.9008789999998</v>
      </c>
      <c r="G284" s="2">
        <v>46.90000534</v>
      </c>
      <c r="H284" s="2">
        <v>82.524135150000006</v>
      </c>
      <c r="I284" s="2">
        <f>IFERROR(ROUND(H284,0),"null")</f>
        <v>83</v>
      </c>
      <c r="J284" s="2" t="str">
        <f>IF(AND(A285=A284,I284=100,I285=100),"full access", " ")</f>
        <v xml:space="preserve"> </v>
      </c>
      <c r="K284" s="2">
        <v>7.2754761539999997</v>
      </c>
      <c r="L284" s="2">
        <v>4.4164614110000002</v>
      </c>
      <c r="M284" s="2">
        <v>5.7839272810000004</v>
      </c>
      <c r="N284" s="2">
        <v>70.141031380000001</v>
      </c>
      <c r="O284" s="2">
        <f>IFERROR(ROUND(N284,0),"null")</f>
        <v>70</v>
      </c>
      <c r="P284" s="2" t="str">
        <f>IF(AND(A284=A285,O284=100,O285=100),"full access"," ")</f>
        <v xml:space="preserve"> </v>
      </c>
      <c r="Q284" s="2">
        <f>IFERROR(IF(A285=A284,((N284-N285)/(C284-C285)),""),"null")</f>
        <v>0.22302721000000075</v>
      </c>
      <c r="R284" s="2">
        <v>11.72007222</v>
      </c>
      <c r="S284" s="2">
        <v>7.6143896370000004</v>
      </c>
      <c r="T284" s="2">
        <v>10.52450676</v>
      </c>
      <c r="U284" s="2">
        <v>96.544235619999995</v>
      </c>
      <c r="V284" s="2">
        <f>IFERROR(ROUND(U284,0),"null")</f>
        <v>97</v>
      </c>
      <c r="W284" s="2" t="str">
        <f>IF(AND(A284=A285,V284=100,V285=100),"full access","")</f>
        <v/>
      </c>
      <c r="X284" s="2">
        <f>IFERROR(IF(A285=A284,((U284-U285)/(C284-C285)),""),"null")</f>
        <v>-5.5454053999997657E-2</v>
      </c>
      <c r="Y284" s="2">
        <v>2.2433222979999998</v>
      </c>
      <c r="Z284" s="2">
        <v>0.79577988889999995</v>
      </c>
      <c r="AA284" s="2">
        <v>0.41666219110000002</v>
      </c>
      <c r="AB284" s="2">
        <f>IFERROR(IF(A285=A284, Q284-X284, ""), "null")</f>
        <v>0.2784812639999984</v>
      </c>
    </row>
    <row r="285" spans="1:28">
      <c r="A285" s="2" t="s">
        <v>193</v>
      </c>
      <c r="B285" s="2" t="str">
        <f>VLOOKUP(A285,Regions!A:B,2,0)</f>
        <v>Sub-Saharan Africa</v>
      </c>
      <c r="C285" s="2">
        <v>2020</v>
      </c>
      <c r="D285" s="2" t="str">
        <f>IF(A286=A285,ABS(C286-C285),"")</f>
        <v/>
      </c>
      <c r="E285" s="2" t="str">
        <f>IFERROR(IF(A286=A285,((H285-H286)/(C285-C286)), ""), "null")</f>
        <v/>
      </c>
      <c r="F285" s="2">
        <v>2540.9160160000001</v>
      </c>
      <c r="G285" s="2">
        <v>52.033000950000002</v>
      </c>
      <c r="H285" s="2">
        <v>84.270036279999999</v>
      </c>
      <c r="I285" s="2">
        <f>IFERROR(ROUND(H285,0),"null")</f>
        <v>84</v>
      </c>
      <c r="J285" s="2" t="str">
        <f>IF(AND(A286=A285,I285=100,I286=100),"full access", " ")</f>
        <v xml:space="preserve"> </v>
      </c>
      <c r="K285" s="2">
        <v>7.0876275099999999</v>
      </c>
      <c r="L285" s="2">
        <v>3.740143722</v>
      </c>
      <c r="M285" s="2">
        <v>4.9021924849999996</v>
      </c>
      <c r="N285" s="2">
        <v>71.256167430000005</v>
      </c>
      <c r="O285" s="2">
        <f>IFERROR(ROUND(N285,0),"null")</f>
        <v>71</v>
      </c>
      <c r="P285" s="2" t="str">
        <f>IF(AND(A285=A286,O285=100,O286=100),"full access"," ")</f>
        <v xml:space="preserve"> </v>
      </c>
      <c r="Q285" s="2" t="str">
        <f>IFERROR(IF(A286=A285,((N285-N286)/(C285-C286)),""),"null")</f>
        <v/>
      </c>
      <c r="R285" s="2">
        <v>11.97218925</v>
      </c>
      <c r="S285" s="2">
        <v>7.0818037589999996</v>
      </c>
      <c r="T285" s="2">
        <v>9.6898395629999996</v>
      </c>
      <c r="U285" s="2">
        <v>96.266965350000007</v>
      </c>
      <c r="V285" s="2">
        <f>IFERROR(ROUND(U285,0),"null")</f>
        <v>96</v>
      </c>
      <c r="W285" s="2" t="str">
        <f>IF(AND(A285=A286,V285=100,V286=100),"full access","")</f>
        <v/>
      </c>
      <c r="X285" s="2" t="str">
        <f>IFERROR(IF(A286=A285,((U285-U286)/(C285-C286)),""),"null")</f>
        <v/>
      </c>
      <c r="Y285" s="2">
        <v>2.5847589649999998</v>
      </c>
      <c r="Z285" s="2">
        <v>0.65961026379999999</v>
      </c>
      <c r="AA285" s="2">
        <v>0.4886654211</v>
      </c>
      <c r="AB285" s="2" t="str">
        <f>IFERROR(IF(A286=A285, Q285-X285, ""), "null")</f>
        <v/>
      </c>
    </row>
    <row r="286" spans="1:28">
      <c r="A286" s="2" t="s">
        <v>194</v>
      </c>
      <c r="B286" s="2" t="str">
        <f>VLOOKUP(A286,Regions!A:B,2,0)</f>
        <v>East Asia &amp; Pacific</v>
      </c>
      <c r="C286" s="2">
        <v>2015</v>
      </c>
      <c r="D286" s="2">
        <f>IF(A287=A286,ABS(C287-C286),"")</f>
        <v>5</v>
      </c>
      <c r="E286" s="2">
        <f>IFERROR(IF(A287=A286,((H286-H287)/(C286-C287)), ""), "null")</f>
        <v>0</v>
      </c>
      <c r="F286" s="2">
        <v>10.373999599999999</v>
      </c>
      <c r="G286" s="2">
        <v>100</v>
      </c>
      <c r="H286" s="2">
        <v>100</v>
      </c>
      <c r="I286" s="2">
        <f>IFERROR(ROUND(H286,0),"null")</f>
        <v>100</v>
      </c>
      <c r="J286" s="2" t="str">
        <f>IF(AND(A287=A286,I286=100,I287=100),"full access", " ")</f>
        <v>full access</v>
      </c>
      <c r="K286" s="2">
        <v>0</v>
      </c>
      <c r="L286" s="2">
        <v>0</v>
      </c>
      <c r="M286" s="2">
        <v>0</v>
      </c>
      <c r="N286" s="2" t="s">
        <v>45</v>
      </c>
      <c r="O286" s="2" t="str">
        <f>IFERROR(ROUND(N286,0),"null")</f>
        <v>null</v>
      </c>
      <c r="P286" s="2" t="str">
        <f>IF(AND(A286=A287,O286=100,O287=100),"full access"," ")</f>
        <v xml:space="preserve"> </v>
      </c>
      <c r="Q286" s="2" t="str">
        <f>IFERROR(IF(A287=A286,((N286-N287)/(C286-C287)),""),"null")</f>
        <v>null</v>
      </c>
      <c r="R286" s="2" t="s">
        <v>45</v>
      </c>
      <c r="S286" s="2" t="s">
        <v>45</v>
      </c>
      <c r="T286" s="2" t="s">
        <v>45</v>
      </c>
      <c r="U286" s="2">
        <v>100</v>
      </c>
      <c r="V286" s="2">
        <f>IFERROR(ROUND(U286,0),"null")</f>
        <v>100</v>
      </c>
      <c r="W286" s="2" t="str">
        <f>IF(AND(A286=A287,V286=100,V287=100),"full access","")</f>
        <v>full access</v>
      </c>
      <c r="X286" s="2">
        <f>IFERROR(IF(A287=A286,((U286-U287)/(C286-C287)),""),"null")</f>
        <v>0</v>
      </c>
      <c r="Y286" s="2">
        <v>0</v>
      </c>
      <c r="Z286" s="2">
        <v>0</v>
      </c>
      <c r="AA286" s="2">
        <v>0</v>
      </c>
      <c r="AB286" s="2" t="str">
        <f>IFERROR(IF(A287=A286, Q286-X286, ""), "null")</f>
        <v>null</v>
      </c>
    </row>
    <row r="287" spans="1:28">
      <c r="A287" s="2" t="s">
        <v>194</v>
      </c>
      <c r="B287" s="2" t="str">
        <f>VLOOKUP(A287,Regions!A:B,2,0)</f>
        <v>East Asia &amp; Pacific</v>
      </c>
      <c r="C287" s="2">
        <v>2020</v>
      </c>
      <c r="D287" s="2" t="str">
        <f>IF(A288=A287,ABS(C288-C287),"")</f>
        <v/>
      </c>
      <c r="E287" s="2" t="str">
        <f>IFERROR(IF(A288=A287,((H287-H288)/(C287-C288)), ""), "null")</f>
        <v/>
      </c>
      <c r="F287" s="2">
        <v>10.833999629999999</v>
      </c>
      <c r="G287" s="2">
        <v>100</v>
      </c>
      <c r="H287" s="2">
        <v>100</v>
      </c>
      <c r="I287" s="2">
        <f>IFERROR(ROUND(H287,0),"null")</f>
        <v>100</v>
      </c>
      <c r="J287" s="2" t="str">
        <f>IF(AND(A288=A287,I287=100,I288=100),"full access", " ")</f>
        <v xml:space="preserve"> </v>
      </c>
      <c r="K287" s="2">
        <v>0</v>
      </c>
      <c r="L287" s="2">
        <v>0</v>
      </c>
      <c r="M287" s="2">
        <v>0</v>
      </c>
      <c r="N287" s="2" t="s">
        <v>45</v>
      </c>
      <c r="O287" s="2" t="str">
        <f>IFERROR(ROUND(N287,0),"null")</f>
        <v>null</v>
      </c>
      <c r="P287" s="2" t="str">
        <f>IF(AND(A287=A288,O287=100,O288=100),"full access"," ")</f>
        <v xml:space="preserve"> </v>
      </c>
      <c r="Q287" s="2" t="str">
        <f>IFERROR(IF(A288=A287,((N287-N288)/(C287-C288)),""),"null")</f>
        <v/>
      </c>
      <c r="R287" s="2" t="s">
        <v>45</v>
      </c>
      <c r="S287" s="2" t="s">
        <v>45</v>
      </c>
      <c r="T287" s="2" t="s">
        <v>45</v>
      </c>
      <c r="U287" s="2">
        <v>100</v>
      </c>
      <c r="V287" s="2">
        <f>IFERROR(ROUND(U287,0),"null")</f>
        <v>100</v>
      </c>
      <c r="W287" s="2" t="str">
        <f>IF(AND(A287=A288,V287=100,V288=100),"full access","")</f>
        <v/>
      </c>
      <c r="X287" s="2" t="str">
        <f>IFERROR(IF(A288=A287,((U287-U288)/(C287-C288)),""),"null")</f>
        <v/>
      </c>
      <c r="Y287" s="2">
        <v>0</v>
      </c>
      <c r="Z287" s="2">
        <v>0</v>
      </c>
      <c r="AA287" s="2">
        <v>0</v>
      </c>
      <c r="AB287" s="2" t="str">
        <f>IFERROR(IF(A288=A287, Q287-X287, ""), "null")</f>
        <v/>
      </c>
    </row>
    <row r="288" spans="1:28">
      <c r="A288" s="2" t="s">
        <v>195</v>
      </c>
      <c r="B288" s="2" t="str">
        <f>VLOOKUP(A288,Regions!A:B,2,0)</f>
        <v>South Asia</v>
      </c>
      <c r="C288" s="2">
        <v>2015</v>
      </c>
      <c r="D288" s="2">
        <f>IF(A289=A288,ABS(C289-C288),"")</f>
        <v>5</v>
      </c>
      <c r="E288" s="2">
        <f>IFERROR(IF(A289=A288,((H288-H289)/(C288-C289)), ""), "null")</f>
        <v>0.45321483999999829</v>
      </c>
      <c r="F288" s="2">
        <v>27015.033200000002</v>
      </c>
      <c r="G288" s="2">
        <v>18.556999210000001</v>
      </c>
      <c r="H288" s="2">
        <v>87.808467590000006</v>
      </c>
      <c r="I288" s="2">
        <f>IFERROR(ROUND(H288,0),"null")</f>
        <v>88</v>
      </c>
      <c r="J288" s="2" t="str">
        <f>IF(AND(A289=A288,I288=100,I289=100),"full access", " ")</f>
        <v xml:space="preserve"> </v>
      </c>
      <c r="K288" s="2">
        <v>3.1679044589999998</v>
      </c>
      <c r="L288" s="2">
        <v>7.2642085280000002</v>
      </c>
      <c r="M288" s="2">
        <v>1.759419423</v>
      </c>
      <c r="N288" s="2">
        <v>87.241979639999997</v>
      </c>
      <c r="O288" s="2">
        <f>IFERROR(ROUND(N288,0),"null")</f>
        <v>87</v>
      </c>
      <c r="P288" s="2" t="str">
        <f>IF(AND(A288=A289,O288=100,O289=100),"full access"," ")</f>
        <v xml:space="preserve"> </v>
      </c>
      <c r="Q288" s="2">
        <f>IFERROR(IF(A289=A288,((N288-N289)/(C288-C289)),""),"null")</f>
        <v>0.59225840200000168</v>
      </c>
      <c r="R288" s="2">
        <v>3.3102712580000002</v>
      </c>
      <c r="S288" s="2">
        <v>7.5313174839999997</v>
      </c>
      <c r="T288" s="2">
        <v>1.9164316180000001</v>
      </c>
      <c r="U288" s="2">
        <v>90.294671100000002</v>
      </c>
      <c r="V288" s="2">
        <f>IFERROR(ROUND(U288,0),"null")</f>
        <v>90</v>
      </c>
      <c r="W288" s="2" t="str">
        <f>IF(AND(A288=A289,V288=100,V289=100),"full access","")</f>
        <v/>
      </c>
      <c r="X288" s="2">
        <f>IFERROR(IF(A289=A288,((U288-U289)/(C288-C289)),""),"null")</f>
        <v>-0.14340758799999948</v>
      </c>
      <c r="Y288" s="2">
        <v>2.5430847519999999</v>
      </c>
      <c r="Z288" s="2">
        <v>6.091920182</v>
      </c>
      <c r="AA288" s="2">
        <v>1.07032397</v>
      </c>
      <c r="AB288" s="2">
        <f>IFERROR(IF(A289=A288, Q288-X288, ""), "null")</f>
        <v>0.7356659900000011</v>
      </c>
    </row>
    <row r="289" spans="1:28">
      <c r="A289" s="2" t="s">
        <v>195</v>
      </c>
      <c r="B289" s="2" t="str">
        <f>VLOOKUP(A289,Regions!A:B,2,0)</f>
        <v>South Asia</v>
      </c>
      <c r="C289" s="2">
        <v>2020</v>
      </c>
      <c r="D289" s="2" t="str">
        <f>IF(A290=A289,ABS(C290-C289),"")</f>
        <v/>
      </c>
      <c r="E289" s="2" t="str">
        <f>IFERROR(IF(A290=A289,((H289-H290)/(C289-C290)), ""), "null")</f>
        <v/>
      </c>
      <c r="F289" s="2">
        <v>29136.808590000001</v>
      </c>
      <c r="G289" s="2">
        <v>20.57600021</v>
      </c>
      <c r="H289" s="2">
        <v>90.074541789999998</v>
      </c>
      <c r="I289" s="2">
        <f>IFERROR(ROUND(H289,0),"null")</f>
        <v>90</v>
      </c>
      <c r="J289" s="2" t="str">
        <f>IF(AND(A290=A289,I289=100,I290=100),"full access", " ")</f>
        <v xml:space="preserve"> </v>
      </c>
      <c r="K289" s="2">
        <v>3.979825725</v>
      </c>
      <c r="L289" s="2">
        <v>4.699081176</v>
      </c>
      <c r="M289" s="2">
        <v>1.246551314</v>
      </c>
      <c r="N289" s="2">
        <v>90.203271650000005</v>
      </c>
      <c r="O289" s="2">
        <f>IFERROR(ROUND(N289,0),"null")</f>
        <v>90</v>
      </c>
      <c r="P289" s="2" t="str">
        <f>IF(AND(A289=A290,O289=100,O290=100),"full access"," ")</f>
        <v xml:space="preserve"> </v>
      </c>
      <c r="Q289" s="2" t="str">
        <f>IFERROR(IF(A290=A289,((N289-N290)/(C289-C290)),""),"null")</f>
        <v/>
      </c>
      <c r="R289" s="2">
        <v>4.2073482459999996</v>
      </c>
      <c r="S289" s="2">
        <v>4.2690239510000003</v>
      </c>
      <c r="T289" s="2">
        <v>1.320356149</v>
      </c>
      <c r="U289" s="2">
        <v>89.577633160000005</v>
      </c>
      <c r="V289" s="2">
        <f>IFERROR(ROUND(U289,0),"null")</f>
        <v>90</v>
      </c>
      <c r="W289" s="2" t="str">
        <f>IF(AND(A289=A290,V289=100,V290=100),"full access","")</f>
        <v/>
      </c>
      <c r="X289" s="2" t="str">
        <f>IFERROR(IF(A290=A289,((U289-U290)/(C289-C290)),""),"null")</f>
        <v/>
      </c>
      <c r="Y289" s="2">
        <v>3.1015814110000002</v>
      </c>
      <c r="Z289" s="2">
        <v>6.359123168</v>
      </c>
      <c r="AA289" s="2">
        <v>0.96166225849999998</v>
      </c>
      <c r="AB289" s="2" t="str">
        <f>IFERROR(IF(A290=A289, Q289-X289, ""), "null")</f>
        <v/>
      </c>
    </row>
    <row r="290" spans="1:28">
      <c r="A290" s="2" t="s">
        <v>196</v>
      </c>
      <c r="B290" s="2" t="str">
        <f>VLOOKUP(A290,Regions!A:B,2,0)</f>
        <v>Europe &amp; Central Asia</v>
      </c>
      <c r="C290" s="2">
        <v>2015</v>
      </c>
      <c r="D290" s="2">
        <f>IF(A291=A290,ABS(C291-C290),"")</f>
        <v>5</v>
      </c>
      <c r="E290" s="2">
        <f>IFERROR(IF(A291=A290,((H290-H291)/(C290-C291)), ""), "null")</f>
        <v>1.4600000213249588E-7</v>
      </c>
      <c r="F290" s="2">
        <v>16938.492190000001</v>
      </c>
      <c r="G290" s="2">
        <v>90.172996519999998</v>
      </c>
      <c r="H290" s="2">
        <v>99.999998559999995</v>
      </c>
      <c r="I290" s="2">
        <f>IFERROR(ROUND(H290,0),"null")</f>
        <v>100</v>
      </c>
      <c r="J290" s="2" t="str">
        <f>IF(AND(A291=A290,I290=100,I291=100),"full access", " ")</f>
        <v>full access</v>
      </c>
      <c r="K290" s="2">
        <v>0</v>
      </c>
      <c r="L290" s="2">
        <v>1.441336238E-6</v>
      </c>
      <c r="M290" s="2">
        <v>0</v>
      </c>
      <c r="N290" s="2">
        <v>100</v>
      </c>
      <c r="O290" s="2">
        <f>IFERROR(ROUND(N290,0),"null")</f>
        <v>100</v>
      </c>
      <c r="P290" s="2" t="str">
        <f>IF(AND(A290=A291,O290=100,O291=100),"full access"," ")</f>
        <v>full access</v>
      </c>
      <c r="Q290" s="2">
        <f>IFERROR(IF(A291=A290,((N290-N291)/(C290-C291)),""),"null")</f>
        <v>0</v>
      </c>
      <c r="R290" s="2">
        <v>0</v>
      </c>
      <c r="S290" s="2">
        <v>0</v>
      </c>
      <c r="T290" s="2">
        <v>0</v>
      </c>
      <c r="U290" s="2">
        <v>100</v>
      </c>
      <c r="V290" s="2">
        <f>IFERROR(ROUND(U290,0),"null")</f>
        <v>100</v>
      </c>
      <c r="W290" s="2" t="str">
        <f>IF(AND(A290=A291,V290=100,V291=100),"full access","")</f>
        <v>full access</v>
      </c>
      <c r="X290" s="2">
        <f>IFERROR(IF(A291=A290,((U290-U291)/(C290-C291)),""),"null")</f>
        <v>0</v>
      </c>
      <c r="Y290" s="2">
        <v>0</v>
      </c>
      <c r="Z290" s="2">
        <v>0</v>
      </c>
      <c r="AA290" s="2">
        <v>0</v>
      </c>
      <c r="AB290" s="2">
        <f>IFERROR(IF(A291=A290, Q290-X290, ""), "null")</f>
        <v>0</v>
      </c>
    </row>
    <row r="291" spans="1:28">
      <c r="A291" s="2" t="s">
        <v>196</v>
      </c>
      <c r="B291" s="2" t="str">
        <f>VLOOKUP(A291,Regions!A:B,2,0)</f>
        <v>Europe &amp; Central Asia</v>
      </c>
      <c r="C291" s="2">
        <v>2020</v>
      </c>
      <c r="D291" s="2" t="str">
        <f>IF(A292=A291,ABS(C292-C291),"")</f>
        <v/>
      </c>
      <c r="E291" s="2" t="str">
        <f>IFERROR(IF(A292=A291,((H291-H292)/(C291-C292)), ""), "null")</f>
        <v/>
      </c>
      <c r="F291" s="2">
        <v>17134.873049999998</v>
      </c>
      <c r="G291" s="2">
        <v>92.236000059999995</v>
      </c>
      <c r="H291" s="2">
        <v>99.999999290000005</v>
      </c>
      <c r="I291" s="2">
        <f>IFERROR(ROUND(H291,0),"null")</f>
        <v>100</v>
      </c>
      <c r="J291" s="2" t="str">
        <f>IF(AND(A292=A291,I291=100,I292=100),"full access", " ")</f>
        <v xml:space="preserve"> </v>
      </c>
      <c r="K291" s="2">
        <v>0</v>
      </c>
      <c r="L291" s="2">
        <v>7.1240862099999999E-7</v>
      </c>
      <c r="M291" s="2">
        <v>0</v>
      </c>
      <c r="N291" s="2">
        <v>100</v>
      </c>
      <c r="O291" s="2">
        <f>IFERROR(ROUND(N291,0),"null")</f>
        <v>100</v>
      </c>
      <c r="P291" s="2" t="str">
        <f>IF(AND(A291=A292,O291=100,O292=100),"full access"," ")</f>
        <v xml:space="preserve"> </v>
      </c>
      <c r="Q291" s="2" t="str">
        <f>IFERROR(IF(A292=A291,((N291-N292)/(C291-C292)),""),"null")</f>
        <v/>
      </c>
      <c r="R291" s="2">
        <v>0</v>
      </c>
      <c r="S291" s="2">
        <v>0</v>
      </c>
      <c r="T291" s="2">
        <v>0</v>
      </c>
      <c r="U291" s="2">
        <v>100</v>
      </c>
      <c r="V291" s="2">
        <f>IFERROR(ROUND(U291,0),"null")</f>
        <v>100</v>
      </c>
      <c r="W291" s="2" t="str">
        <f>IF(AND(A291=A292,V291=100,V292=100),"full access","")</f>
        <v/>
      </c>
      <c r="X291" s="2" t="str">
        <f>IFERROR(IF(A292=A291,((U291-U292)/(C291-C292)),""),"null")</f>
        <v/>
      </c>
      <c r="Y291" s="2">
        <v>0</v>
      </c>
      <c r="Z291" s="2">
        <v>0</v>
      </c>
      <c r="AA291" s="2">
        <v>0</v>
      </c>
      <c r="AB291" s="2" t="str">
        <f>IFERROR(IF(A292=A291, Q291-X291, ""), "null")</f>
        <v/>
      </c>
    </row>
    <row r="292" spans="1:28">
      <c r="A292" s="2" t="s">
        <v>197</v>
      </c>
      <c r="B292" s="2" t="str">
        <f>VLOOKUP(A292,Regions!A:B,2,0)</f>
        <v>East Asia &amp; Pacific</v>
      </c>
      <c r="C292" s="2">
        <v>2015</v>
      </c>
      <c r="D292" s="2">
        <f>IF(A293=A292,ABS(C293-C292),"")</f>
        <v>5</v>
      </c>
      <c r="E292" s="2">
        <f>IFERROR(IF(A293=A292,((H292-H293)/(C292-C293)), ""), "null")</f>
        <v>0.23335241600000245</v>
      </c>
      <c r="F292" s="2">
        <v>271.06201170000003</v>
      </c>
      <c r="G292" s="2">
        <v>69.379005430000007</v>
      </c>
      <c r="H292" s="2">
        <v>98.138558489999994</v>
      </c>
      <c r="I292" s="2">
        <f>IFERROR(ROUND(H292,0),"null")</f>
        <v>98</v>
      </c>
      <c r="J292" s="2" t="str">
        <f>IF(AND(A293=A292,I292=100,I293=100),"full access", " ")</f>
        <v xml:space="preserve"> </v>
      </c>
      <c r="K292" s="2">
        <v>0</v>
      </c>
      <c r="L292" s="2">
        <v>1.861441508</v>
      </c>
      <c r="M292" s="2">
        <v>0</v>
      </c>
      <c r="N292" s="2" t="s">
        <v>45</v>
      </c>
      <c r="O292" s="2" t="str">
        <f>IFERROR(ROUND(N292,0),"null")</f>
        <v>null</v>
      </c>
      <c r="P292" s="2" t="str">
        <f>IF(AND(A292=A293,O292=100,O293=100),"full access"," ")</f>
        <v xml:space="preserve"> </v>
      </c>
      <c r="Q292" s="2" t="str">
        <f>IFERROR(IF(A293=A292,((N292-N293)/(C292-C293)),""),"null")</f>
        <v>null</v>
      </c>
      <c r="R292" s="2" t="s">
        <v>45</v>
      </c>
      <c r="S292" s="2" t="s">
        <v>45</v>
      </c>
      <c r="T292" s="2" t="s">
        <v>45</v>
      </c>
      <c r="U292" s="2" t="s">
        <v>45</v>
      </c>
      <c r="V292" s="2" t="str">
        <f>IFERROR(ROUND(U292,0),"null")</f>
        <v>null</v>
      </c>
      <c r="W292" s="2" t="str">
        <f>IF(AND(A292=A293,V292=100,V293=100),"full access","")</f>
        <v/>
      </c>
      <c r="X292" s="2" t="str">
        <f>IFERROR(IF(A293=A292,((U292-U293)/(C292-C293)),""),"null")</f>
        <v>null</v>
      </c>
      <c r="Y292" s="2" t="s">
        <v>45</v>
      </c>
      <c r="Z292" s="2" t="s">
        <v>45</v>
      </c>
      <c r="AA292" s="2" t="s">
        <v>45</v>
      </c>
      <c r="AB292" s="2" t="str">
        <f>IFERROR(IF(A293=A292, Q292-X292, ""), "null")</f>
        <v>null</v>
      </c>
    </row>
    <row r="293" spans="1:28">
      <c r="A293" s="2" t="s">
        <v>197</v>
      </c>
      <c r="B293" s="2" t="str">
        <f>VLOOKUP(A293,Regions!A:B,2,0)</f>
        <v>East Asia &amp; Pacific</v>
      </c>
      <c r="C293" s="2">
        <v>2020</v>
      </c>
      <c r="D293" s="2" t="str">
        <f>IF(A294=A293,ABS(C294-C293),"")</f>
        <v/>
      </c>
      <c r="E293" s="2" t="str">
        <f>IFERROR(IF(A294=A293,((H293-H294)/(C293-C294)), ""), "null")</f>
        <v/>
      </c>
      <c r="F293" s="2">
        <v>285.4909973</v>
      </c>
      <c r="G293" s="2">
        <v>71.517997739999998</v>
      </c>
      <c r="H293" s="2">
        <v>99.305320570000006</v>
      </c>
      <c r="I293" s="2">
        <f>IFERROR(ROUND(H293,0),"null")</f>
        <v>99</v>
      </c>
      <c r="J293" s="2" t="str">
        <f>IF(AND(A294=A293,I293=100,I294=100),"full access", " ")</f>
        <v xml:space="preserve"> </v>
      </c>
      <c r="K293" s="2">
        <v>0</v>
      </c>
      <c r="L293" s="2">
        <v>0.69467942780000003</v>
      </c>
      <c r="M293" s="2">
        <v>0</v>
      </c>
      <c r="N293" s="2" t="s">
        <v>45</v>
      </c>
      <c r="O293" s="2" t="str">
        <f>IFERROR(ROUND(N293,0),"null")</f>
        <v>null</v>
      </c>
      <c r="P293" s="2" t="str">
        <f>IF(AND(A293=A294,O293=100,O294=100),"full access"," ")</f>
        <v xml:space="preserve"> </v>
      </c>
      <c r="Q293" s="2" t="str">
        <f>IFERROR(IF(A294=A293,((N293-N294)/(C293-C294)),""),"null")</f>
        <v/>
      </c>
      <c r="R293" s="2" t="s">
        <v>45</v>
      </c>
      <c r="S293" s="2" t="s">
        <v>45</v>
      </c>
      <c r="T293" s="2" t="s">
        <v>45</v>
      </c>
      <c r="U293" s="2" t="s">
        <v>45</v>
      </c>
      <c r="V293" s="2" t="str">
        <f>IFERROR(ROUND(U293,0),"null")</f>
        <v>null</v>
      </c>
      <c r="W293" s="2" t="str">
        <f>IF(AND(A293=A294,V293=100,V294=100),"full access","")</f>
        <v/>
      </c>
      <c r="X293" s="2" t="str">
        <f>IFERROR(IF(A294=A293,((U293-U294)/(C293-C294)),""),"null")</f>
        <v/>
      </c>
      <c r="Y293" s="2" t="s">
        <v>45</v>
      </c>
      <c r="Z293" s="2" t="s">
        <v>45</v>
      </c>
      <c r="AA293" s="2" t="s">
        <v>45</v>
      </c>
      <c r="AB293" s="2" t="str">
        <f>IFERROR(IF(A294=A293, Q293-X293, ""), "null")</f>
        <v/>
      </c>
    </row>
    <row r="294" spans="1:28">
      <c r="A294" s="2" t="s">
        <v>198</v>
      </c>
      <c r="B294" s="2" t="str">
        <f>VLOOKUP(A294,Regions!A:B,2,0)</f>
        <v>East Asia &amp; Pacific</v>
      </c>
      <c r="C294" s="2">
        <v>2015</v>
      </c>
      <c r="D294" s="2">
        <f>IF(A295=A294,ABS(C295-C294),"")</f>
        <v>5</v>
      </c>
      <c r="E294" s="2">
        <f>IFERROR(IF(A295=A294,((H294-H295)/(C294-C295)), ""), "null")</f>
        <v>7.8999999857387589E-7</v>
      </c>
      <c r="F294" s="2">
        <v>4614.5268550000001</v>
      </c>
      <c r="G294" s="2">
        <v>86.340995789999994</v>
      </c>
      <c r="H294" s="2">
        <v>99.999997350000001</v>
      </c>
      <c r="I294" s="2">
        <f>IFERROR(ROUND(H294,0),"null")</f>
        <v>100</v>
      </c>
      <c r="J294" s="2" t="str">
        <f>IF(AND(A295=A294,I294=100,I295=100),"full access", " ")</f>
        <v>full access</v>
      </c>
      <c r="K294" s="2">
        <v>0</v>
      </c>
      <c r="L294" s="2">
        <v>2.6453484029999998E-6</v>
      </c>
      <c r="M294" s="2">
        <v>0</v>
      </c>
      <c r="N294" s="2">
        <v>100</v>
      </c>
      <c r="O294" s="2">
        <f>IFERROR(ROUND(N294,0),"null")</f>
        <v>100</v>
      </c>
      <c r="P294" s="2" t="str">
        <f>IF(AND(A294=A295,O294=100,O295=100),"full access"," ")</f>
        <v>full access</v>
      </c>
      <c r="Q294" s="2">
        <f>IFERROR(IF(A295=A294,((N294-N295)/(C294-C295)),""),"null")</f>
        <v>0</v>
      </c>
      <c r="R294" s="2">
        <v>0</v>
      </c>
      <c r="S294" s="2">
        <v>0</v>
      </c>
      <c r="T294" s="2">
        <v>0</v>
      </c>
      <c r="U294" s="2">
        <v>100</v>
      </c>
      <c r="V294" s="2">
        <f>IFERROR(ROUND(U294,0),"null")</f>
        <v>100</v>
      </c>
      <c r="W294" s="2" t="str">
        <f>IF(AND(A294=A295,V294=100,V295=100),"full access","")</f>
        <v>full access</v>
      </c>
      <c r="X294" s="2">
        <f>IFERROR(IF(A295=A294,((U294-U295)/(C294-C295)),""),"null")</f>
        <v>0</v>
      </c>
      <c r="Y294" s="2">
        <v>0</v>
      </c>
      <c r="Z294" s="2">
        <v>0</v>
      </c>
      <c r="AA294" s="2">
        <v>0</v>
      </c>
      <c r="AB294" s="2">
        <f>IFERROR(IF(A295=A294, Q294-X294, ""), "null")</f>
        <v>0</v>
      </c>
    </row>
    <row r="295" spans="1:28">
      <c r="A295" s="2" t="s">
        <v>198</v>
      </c>
      <c r="B295" s="2" t="str">
        <f>VLOOKUP(A295,Regions!A:B,2,0)</f>
        <v>East Asia &amp; Pacific</v>
      </c>
      <c r="C295" s="2">
        <v>2020</v>
      </c>
      <c r="D295" s="2" t="str">
        <f>IF(A296=A295,ABS(C296-C295),"")</f>
        <v/>
      </c>
      <c r="E295" s="2" t="str">
        <f>IFERROR(IF(A296=A295,((H295-H296)/(C295-C296)), ""), "null")</f>
        <v/>
      </c>
      <c r="F295" s="2">
        <v>4822.2329099999997</v>
      </c>
      <c r="G295" s="2">
        <v>86.698997500000004</v>
      </c>
      <c r="H295" s="2">
        <v>100.00000129999999</v>
      </c>
      <c r="I295" s="2">
        <f>IFERROR(ROUND(H295,0),"null")</f>
        <v>100</v>
      </c>
      <c r="J295" s="2" t="str">
        <f>IF(AND(A296=A295,I295=100,I296=100),"full access", " ")</f>
        <v xml:space="preserve"> </v>
      </c>
      <c r="K295" s="2">
        <v>0</v>
      </c>
      <c r="L295" s="2">
        <v>0</v>
      </c>
      <c r="M295" s="2">
        <v>0</v>
      </c>
      <c r="N295" s="2">
        <v>100</v>
      </c>
      <c r="O295" s="2">
        <f>IFERROR(ROUND(N295,0),"null")</f>
        <v>100</v>
      </c>
      <c r="P295" s="2" t="str">
        <f>IF(AND(A295=A296,O295=100,O296=100),"full access"," ")</f>
        <v xml:space="preserve"> </v>
      </c>
      <c r="Q295" s="2" t="str">
        <f>IFERROR(IF(A296=A295,((N295-N296)/(C295-C296)),""),"null")</f>
        <v/>
      </c>
      <c r="R295" s="2">
        <v>0</v>
      </c>
      <c r="S295" s="2">
        <v>0</v>
      </c>
      <c r="T295" s="2">
        <v>0</v>
      </c>
      <c r="U295" s="2">
        <v>100</v>
      </c>
      <c r="V295" s="2">
        <f>IFERROR(ROUND(U295,0),"null")</f>
        <v>100</v>
      </c>
      <c r="W295" s="2" t="str">
        <f>IF(AND(A295=A296,V295=100,V296=100),"full access","")</f>
        <v/>
      </c>
      <c r="X295" s="2" t="str">
        <f>IFERROR(IF(A296=A295,((U295-U296)/(C295-C296)),""),"null")</f>
        <v/>
      </c>
      <c r="Y295" s="2">
        <v>0</v>
      </c>
      <c r="Z295" s="2">
        <v>0</v>
      </c>
      <c r="AA295" s="2">
        <v>0</v>
      </c>
      <c r="AB295" s="2" t="str">
        <f>IFERROR(IF(A296=A295, Q295-X295, ""), "null")</f>
        <v/>
      </c>
    </row>
    <row r="296" spans="1:28">
      <c r="A296" s="2" t="s">
        <v>199</v>
      </c>
      <c r="B296" s="2" t="str">
        <f>VLOOKUP(A296,Regions!A:B,2,0)</f>
        <v>Latin America &amp; Caribbean</v>
      </c>
      <c r="C296" s="2">
        <v>2015</v>
      </c>
      <c r="D296" s="2">
        <f>IF(A297=A296,ABS(C297-C296),"")</f>
        <v>5</v>
      </c>
      <c r="E296" s="2">
        <f>IFERROR(IF(A297=A296,((H296-H297)/(C296-C297)), ""), "null")</f>
        <v>7.11250519999993E-2</v>
      </c>
      <c r="F296" s="2">
        <v>6223.2338870000003</v>
      </c>
      <c r="G296" s="2">
        <v>57.894996640000002</v>
      </c>
      <c r="H296" s="2">
        <v>81.35312854</v>
      </c>
      <c r="I296" s="2">
        <f>IFERROR(ROUND(H296,0),"null")</f>
        <v>81</v>
      </c>
      <c r="J296" s="2" t="str">
        <f>IF(AND(A297=A296,I296=100,I297=100),"full access", " ")</f>
        <v xml:space="preserve"> </v>
      </c>
      <c r="K296" s="2">
        <v>1.4259273880000001</v>
      </c>
      <c r="L296" s="2">
        <v>13.835758999999999</v>
      </c>
      <c r="M296" s="2">
        <v>3.3851850699999999</v>
      </c>
      <c r="N296" s="2">
        <v>59.50465784</v>
      </c>
      <c r="O296" s="2">
        <f>IFERROR(ROUND(N296,0),"null")</f>
        <v>60</v>
      </c>
      <c r="P296" s="2" t="str">
        <f>IF(AND(A296=A297,O296=100,O297=100),"full access"," ")</f>
        <v xml:space="preserve"> </v>
      </c>
      <c r="Q296" s="2">
        <f>IFERROR(IF(A297=A296,((N296-N297)/(C296-C297)),""),"null")</f>
        <v>-7.9442242000000357E-2</v>
      </c>
      <c r="R296" s="2">
        <v>3.2389618649999998</v>
      </c>
      <c r="S296" s="2">
        <v>29.55960602</v>
      </c>
      <c r="T296" s="2">
        <v>7.6967742709999998</v>
      </c>
      <c r="U296" s="2">
        <v>97.242754880000007</v>
      </c>
      <c r="V296" s="2">
        <f>IFERROR(ROUND(U296,0),"null")</f>
        <v>97</v>
      </c>
      <c r="W296" s="2" t="str">
        <f>IF(AND(A296=A297,V296=100,V297=100),"full access","")</f>
        <v/>
      </c>
      <c r="X296" s="2">
        <f>IFERROR(IF(A297=A296,((U296-U297)/(C296-C297)),""),"null")</f>
        <v>3.2840345999997564E-2</v>
      </c>
      <c r="Y296" s="2">
        <v>0.1073710103</v>
      </c>
      <c r="Z296" s="2">
        <v>2.4003566219999999</v>
      </c>
      <c r="AA296" s="2">
        <v>0.24951748460000001</v>
      </c>
      <c r="AB296" s="2">
        <f>IFERROR(IF(A297=A296, Q296-X296, ""), "null")</f>
        <v>-0.11228258799999792</v>
      </c>
    </row>
    <row r="297" spans="1:28">
      <c r="A297" s="2" t="s">
        <v>199</v>
      </c>
      <c r="B297" s="2" t="str">
        <f>VLOOKUP(A297,Regions!A:B,2,0)</f>
        <v>Latin America &amp; Caribbean</v>
      </c>
      <c r="C297" s="2">
        <v>2020</v>
      </c>
      <c r="D297" s="2" t="str">
        <f>IF(A298=A297,ABS(C298-C297),"")</f>
        <v/>
      </c>
      <c r="E297" s="2" t="str">
        <f>IFERROR(IF(A298=A297,((H297-H298)/(C297-C298)), ""), "null")</f>
        <v/>
      </c>
      <c r="F297" s="2">
        <v>6624.5541990000002</v>
      </c>
      <c r="G297" s="2">
        <v>59.012001040000001</v>
      </c>
      <c r="H297" s="2">
        <v>81.708753799999997</v>
      </c>
      <c r="I297" s="2">
        <f>IFERROR(ROUND(H297,0),"null")</f>
        <v>82</v>
      </c>
      <c r="J297" s="2" t="str">
        <f>IF(AND(A298=A297,I297=100,I298=100),"full access", " ")</f>
        <v xml:space="preserve"> </v>
      </c>
      <c r="K297" s="2">
        <v>1.506645682</v>
      </c>
      <c r="L297" s="2">
        <v>13.530531140000001</v>
      </c>
      <c r="M297" s="2">
        <v>3.2540693780000001</v>
      </c>
      <c r="N297" s="2">
        <v>59.107446629999998</v>
      </c>
      <c r="O297" s="2">
        <f>IFERROR(ROUND(N297,0),"null")</f>
        <v>59</v>
      </c>
      <c r="P297" s="2" t="str">
        <f>IF(AND(A297=A298,O297=100,O298=100),"full access"," ")</f>
        <v xml:space="preserve"> </v>
      </c>
      <c r="Q297" s="2" t="str">
        <f>IFERROR(IF(A298=A297,((N297-N298)/(C297-C298)),""),"null")</f>
        <v/>
      </c>
      <c r="R297" s="2">
        <v>3.5209742849999999</v>
      </c>
      <c r="S297" s="2">
        <v>29.780173680000001</v>
      </c>
      <c r="T297" s="2">
        <v>7.5914054000000002</v>
      </c>
      <c r="U297" s="2">
        <v>97.406956609999995</v>
      </c>
      <c r="V297" s="2">
        <f>IFERROR(ROUND(U297,0),"null")</f>
        <v>97</v>
      </c>
      <c r="W297" s="2" t="str">
        <f>IF(AND(A297=A298,V297=100,V298=100),"full access","")</f>
        <v/>
      </c>
      <c r="X297" s="2" t="str">
        <f>IFERROR(IF(A298=A297,((U297-U298)/(C297-C298)),""),"null")</f>
        <v/>
      </c>
      <c r="Y297" s="2">
        <v>0.10755231429999999</v>
      </c>
      <c r="Z297" s="2">
        <v>2.244007656</v>
      </c>
      <c r="AA297" s="2">
        <v>0.24148342289999999</v>
      </c>
      <c r="AB297" s="2" t="str">
        <f>IFERROR(IF(A298=A297, Q297-X297, ""), "null")</f>
        <v/>
      </c>
    </row>
    <row r="298" spans="1:28">
      <c r="A298" s="2" t="s">
        <v>200</v>
      </c>
      <c r="B298" s="2" t="str">
        <f>VLOOKUP(A298,Regions!A:B,2,0)</f>
        <v>Sub-Saharan Africa</v>
      </c>
      <c r="C298" s="2">
        <v>2015</v>
      </c>
      <c r="D298" s="2">
        <f>IF(A299=A298,ABS(C299-C298),"")</f>
        <v>5</v>
      </c>
      <c r="E298" s="2">
        <f>IFERROR(IF(A299=A298,((H298-H299)/(C298-C299)), ""), "null")</f>
        <v>0.28586788200000085</v>
      </c>
      <c r="F298" s="2">
        <v>20001.662110000001</v>
      </c>
      <c r="G298" s="2">
        <v>16.24699974</v>
      </c>
      <c r="H298" s="2">
        <v>45.482458059999999</v>
      </c>
      <c r="I298" s="2">
        <f>IFERROR(ROUND(H298,0),"null")</f>
        <v>45</v>
      </c>
      <c r="J298" s="2" t="str">
        <f>IF(AND(A299=A298,I298=100,I299=100),"full access", " ")</f>
        <v xml:space="preserve"> </v>
      </c>
      <c r="K298" s="2">
        <v>16.128836960000001</v>
      </c>
      <c r="L298" s="2">
        <v>34.719560010000002</v>
      </c>
      <c r="M298" s="2">
        <v>3.6691449719999998</v>
      </c>
      <c r="N298" s="2">
        <v>37.329941650000002</v>
      </c>
      <c r="O298" s="2">
        <f>IFERROR(ROUND(N298,0),"null")</f>
        <v>37</v>
      </c>
      <c r="P298" s="2" t="str">
        <f>IF(AND(A298=A299,O298=100,O299=100),"full access"," ")</f>
        <v xml:space="preserve"> </v>
      </c>
      <c r="Q298" s="2">
        <f>IFERROR(IF(A299=A298,((N298-N299)/(C298-C299)),""),"null")</f>
        <v>0.36484353399999919</v>
      </c>
      <c r="R298" s="2">
        <v>17.64359486</v>
      </c>
      <c r="S298" s="2">
        <v>40.888487750000003</v>
      </c>
      <c r="T298" s="2">
        <v>4.1379757509999999</v>
      </c>
      <c r="U298" s="2">
        <v>87.508539040000002</v>
      </c>
      <c r="V298" s="2">
        <f>IFERROR(ROUND(U298,0),"null")</f>
        <v>88</v>
      </c>
      <c r="W298" s="2" t="str">
        <f>IF(AND(A298=A299,V298=100,V299=100),"full access","")</f>
        <v/>
      </c>
      <c r="X298" s="2">
        <f>IFERROR(IF(A299=A298,((U298-U299)/(C298-C299)),""),"null")</f>
        <v>-0.33893985600000176</v>
      </c>
      <c r="Y298" s="2">
        <v>8.3202861959999996</v>
      </c>
      <c r="Z298" s="2">
        <v>2.918844344</v>
      </c>
      <c r="AA298" s="2">
        <v>1.252330425</v>
      </c>
      <c r="AB298" s="2">
        <f>IFERROR(IF(A299=A298, Q298-X298, ""), "null")</f>
        <v>0.70378339000000101</v>
      </c>
    </row>
    <row r="299" spans="1:28">
      <c r="A299" s="2" t="s">
        <v>200</v>
      </c>
      <c r="B299" s="2" t="str">
        <f>VLOOKUP(A299,Regions!A:B,2,0)</f>
        <v>Sub-Saharan Africa</v>
      </c>
      <c r="C299" s="2">
        <v>2020</v>
      </c>
      <c r="D299" s="2" t="str">
        <f>IF(A300=A299,ABS(C300-C299),"")</f>
        <v/>
      </c>
      <c r="E299" s="2" t="str">
        <f>IFERROR(IF(A300=A299,((H299-H300)/(C299-C300)), ""), "null")</f>
        <v/>
      </c>
      <c r="F299" s="2">
        <v>24206.636719999999</v>
      </c>
      <c r="G299" s="2">
        <v>16.625999449999998</v>
      </c>
      <c r="H299" s="2">
        <v>46.911797470000003</v>
      </c>
      <c r="I299" s="2">
        <f>IFERROR(ROUND(H299,0),"null")</f>
        <v>47</v>
      </c>
      <c r="J299" s="2" t="str">
        <f>IF(AND(A300=A299,I299=100,I300=100),"full access", " ")</f>
        <v xml:space="preserve"> </v>
      </c>
      <c r="K299" s="2">
        <v>21.653898699999999</v>
      </c>
      <c r="L299" s="2">
        <v>27.027512439999999</v>
      </c>
      <c r="M299" s="2">
        <v>4.4067913919999997</v>
      </c>
      <c r="N299" s="2">
        <v>39.154159319999998</v>
      </c>
      <c r="O299" s="2">
        <f>IFERROR(ROUND(N299,0),"null")</f>
        <v>39</v>
      </c>
      <c r="P299" s="2" t="str">
        <f>IF(AND(A299=A300,O299=100,O300=100),"full access"," ")</f>
        <v xml:space="preserve"> </v>
      </c>
      <c r="Q299" s="2" t="str">
        <f>IFERROR(IF(A300=A299,((N299-N300)/(C299-C300)),""),"null")</f>
        <v/>
      </c>
      <c r="R299" s="2">
        <v>23.987740389999999</v>
      </c>
      <c r="S299" s="2">
        <v>31.991506480000002</v>
      </c>
      <c r="T299" s="2">
        <v>4.8665938129999997</v>
      </c>
      <c r="U299" s="2">
        <v>85.813839759999993</v>
      </c>
      <c r="V299" s="2">
        <f>IFERROR(ROUND(U299,0),"null")</f>
        <v>86</v>
      </c>
      <c r="W299" s="2" t="str">
        <f>IF(AND(A299=A300,V299=100,V300=100),"full access","")</f>
        <v/>
      </c>
      <c r="X299" s="2" t="str">
        <f>IFERROR(IF(A300=A299,((U299-U300)/(C299-C300)),""),"null")</f>
        <v/>
      </c>
      <c r="Y299" s="2">
        <v>9.9504408289999997</v>
      </c>
      <c r="Z299" s="2">
        <v>2.1346877800000001</v>
      </c>
      <c r="AA299" s="2">
        <v>2.1010316339999999</v>
      </c>
      <c r="AB299" s="2" t="str">
        <f>IFERROR(IF(A300=A299, Q299-X299, ""), "null")</f>
        <v/>
      </c>
    </row>
    <row r="300" spans="1:28">
      <c r="A300" s="2" t="s">
        <v>201</v>
      </c>
      <c r="B300" s="2" t="str">
        <f>VLOOKUP(A300,Regions!A:B,2,0)</f>
        <v>Sub-Saharan Africa</v>
      </c>
      <c r="C300" s="2">
        <v>2015</v>
      </c>
      <c r="D300" s="2">
        <f>IF(A301=A300,ABS(C301-C300),"")</f>
        <v>5</v>
      </c>
      <c r="E300" s="2">
        <f>IFERROR(IF(A301=A300,((H300-H301)/(C300-C301)), ""), "null")</f>
        <v>1.7658595840000004</v>
      </c>
      <c r="F300" s="2">
        <v>181137.45310000001</v>
      </c>
      <c r="G300" s="2">
        <v>47.837997440000002</v>
      </c>
      <c r="H300" s="2">
        <v>68.779755460000004</v>
      </c>
      <c r="I300" s="2">
        <f>IFERROR(ROUND(H300,0),"null")</f>
        <v>69</v>
      </c>
      <c r="J300" s="2" t="str">
        <f>IF(AND(A301=A300,I300=100,I301=100),"full access", " ")</f>
        <v xml:space="preserve"> </v>
      </c>
      <c r="K300" s="2">
        <v>6.7135509960000004</v>
      </c>
      <c r="L300" s="2">
        <v>14.733762459999999</v>
      </c>
      <c r="M300" s="2">
        <v>9.7729310859999998</v>
      </c>
      <c r="N300" s="2">
        <v>53.492449000000001</v>
      </c>
      <c r="O300" s="2">
        <f>IFERROR(ROUND(N300,0),"null")</f>
        <v>53</v>
      </c>
      <c r="P300" s="2" t="str">
        <f>IF(AND(A300=A301,O300=100,O301=100),"full access"," ")</f>
        <v xml:space="preserve"> </v>
      </c>
      <c r="Q300" s="2">
        <f>IFERROR(IF(A301=A300,((N300-N301)/(C300-C301)),""),"null")</f>
        <v>1.6331522059999997</v>
      </c>
      <c r="R300" s="2">
        <v>7.1064402710000003</v>
      </c>
      <c r="S300" s="2">
        <v>23.107160100000002</v>
      </c>
      <c r="T300" s="2">
        <v>16.29395062</v>
      </c>
      <c r="U300" s="2">
        <v>85.448858319999999</v>
      </c>
      <c r="V300" s="2">
        <f>IFERROR(ROUND(U300,0),"null")</f>
        <v>85</v>
      </c>
      <c r="W300" s="2" t="str">
        <f>IF(AND(A300=A301,V300=100,V301=100),"full access","")</f>
        <v/>
      </c>
      <c r="X300" s="2">
        <f>IFERROR(IF(A301=A300,((U300-U301)/(C300-C301)),""),"null")</f>
        <v>1.381769374000001</v>
      </c>
      <c r="Y300" s="2">
        <v>6.2851490559999998</v>
      </c>
      <c r="Z300" s="2">
        <v>5.6035061180000003</v>
      </c>
      <c r="AA300" s="2">
        <v>2.6624865010000001</v>
      </c>
      <c r="AB300" s="2">
        <f>IFERROR(IF(A301=A300, Q300-X300, ""), "null")</f>
        <v>0.25138283199999867</v>
      </c>
    </row>
    <row r="301" spans="1:28">
      <c r="A301" s="2" t="s">
        <v>201</v>
      </c>
      <c r="B301" s="2" t="str">
        <f>VLOOKUP(A301,Regions!A:B,2,0)</f>
        <v>Sub-Saharan Africa</v>
      </c>
      <c r="C301" s="2">
        <v>2020</v>
      </c>
      <c r="D301" s="2" t="str">
        <f>IF(A302=A301,ABS(C302-C301),"")</f>
        <v/>
      </c>
      <c r="E301" s="2" t="str">
        <f>IFERROR(IF(A302=A301,((H301-H302)/(C301-C302)), ""), "null")</f>
        <v/>
      </c>
      <c r="F301" s="2">
        <v>206139.5938</v>
      </c>
      <c r="G301" s="2">
        <v>51.958000179999999</v>
      </c>
      <c r="H301" s="2">
        <v>77.609053380000006</v>
      </c>
      <c r="I301" s="2">
        <f>IFERROR(ROUND(H301,0),"null")</f>
        <v>78</v>
      </c>
      <c r="J301" s="2" t="str">
        <f>IF(AND(A302=A301,I301=100,I302=100),"full access", " ")</f>
        <v xml:space="preserve"> </v>
      </c>
      <c r="K301" s="2">
        <v>4.9793993429999999</v>
      </c>
      <c r="L301" s="2">
        <v>11.79691148</v>
      </c>
      <c r="M301" s="2">
        <v>5.6146357939999998</v>
      </c>
      <c r="N301" s="2">
        <v>61.658210029999999</v>
      </c>
      <c r="O301" s="2">
        <f>IFERROR(ROUND(N301,0),"null")</f>
        <v>62</v>
      </c>
      <c r="P301" s="2" t="str">
        <f>IF(AND(A301=A302,O301=100,O302=100),"full access"," ")</f>
        <v xml:space="preserve"> </v>
      </c>
      <c r="Q301" s="2" t="str">
        <f>IFERROR(IF(A302=A301,((N301-N302)/(C301-C302)),""),"null")</f>
        <v/>
      </c>
      <c r="R301" s="2">
        <v>7.1289245829999999</v>
      </c>
      <c r="S301" s="2">
        <v>20.924875350000001</v>
      </c>
      <c r="T301" s="2">
        <v>10.28799004</v>
      </c>
      <c r="U301" s="2">
        <v>92.357705190000004</v>
      </c>
      <c r="V301" s="2">
        <f>IFERROR(ROUND(U301,0),"null")</f>
        <v>92</v>
      </c>
      <c r="W301" s="2" t="str">
        <f>IF(AND(A301=A302,V301=100,V302=100),"full access","")</f>
        <v/>
      </c>
      <c r="X301" s="2" t="str">
        <f>IFERROR(IF(A302=A301,((U301-U302)/(C301-C302)),""),"null")</f>
        <v/>
      </c>
      <c r="Y301" s="2">
        <v>2.9918806500000001</v>
      </c>
      <c r="Z301" s="2">
        <v>3.356908786</v>
      </c>
      <c r="AA301" s="2">
        <v>1.2935053700000001</v>
      </c>
      <c r="AB301" s="2" t="str">
        <f>IFERROR(IF(A302=A301, Q301-X301, ""), "null")</f>
        <v/>
      </c>
    </row>
    <row r="302" spans="1:28">
      <c r="A302" s="2" t="s">
        <v>202</v>
      </c>
      <c r="B302" s="2" t="str">
        <f>VLOOKUP(A302,Regions!A:B,2,0)</f>
        <v>East Asia &amp; Pacific</v>
      </c>
      <c r="C302" s="2">
        <v>2015</v>
      </c>
      <c r="D302" s="2">
        <f>IF(A303=A302,ABS(C303-C302),"")</f>
        <v>5</v>
      </c>
      <c r="E302" s="2">
        <f>IFERROR(IF(A303=A302,((H302-H303)/(C302-C303)), ""), "null")</f>
        <v>-0.1190526460000001</v>
      </c>
      <c r="F302" s="2">
        <v>1.6100000139999999</v>
      </c>
      <c r="G302" s="2">
        <v>42.568000789999999</v>
      </c>
      <c r="H302" s="2">
        <v>97.606139409999997</v>
      </c>
      <c r="I302" s="2">
        <f>IFERROR(ROUND(H302,0),"null")</f>
        <v>98</v>
      </c>
      <c r="J302" s="2" t="str">
        <f>IF(AND(A303=A302,I302=100,I303=100),"full access", " ")</f>
        <v xml:space="preserve"> </v>
      </c>
      <c r="K302" s="2">
        <v>0</v>
      </c>
      <c r="L302" s="2">
        <v>2.393860594</v>
      </c>
      <c r="M302" s="2">
        <v>0</v>
      </c>
      <c r="N302" s="2" t="s">
        <v>45</v>
      </c>
      <c r="O302" s="2" t="str">
        <f>IFERROR(ROUND(N302,0),"null")</f>
        <v>null</v>
      </c>
      <c r="P302" s="2" t="str">
        <f>IF(AND(A302=A303,O302=100,O303=100),"full access"," ")</f>
        <v xml:space="preserve"> </v>
      </c>
      <c r="Q302" s="2" t="str">
        <f>IFERROR(IF(A303=A302,((N302-N303)/(C302-C303)),""),"null")</f>
        <v>null</v>
      </c>
      <c r="R302" s="2" t="s">
        <v>45</v>
      </c>
      <c r="S302" s="2" t="s">
        <v>45</v>
      </c>
      <c r="T302" s="2" t="s">
        <v>45</v>
      </c>
      <c r="U302" s="2" t="s">
        <v>45</v>
      </c>
      <c r="V302" s="2" t="str">
        <f>IFERROR(ROUND(U302,0),"null")</f>
        <v>null</v>
      </c>
      <c r="W302" s="2" t="str">
        <f>IF(AND(A302=A303,V302=100,V303=100),"full access","")</f>
        <v/>
      </c>
      <c r="X302" s="2" t="str">
        <f>IFERROR(IF(A303=A302,((U302-U303)/(C302-C303)),""),"null")</f>
        <v>null</v>
      </c>
      <c r="Y302" s="2" t="s">
        <v>45</v>
      </c>
      <c r="Z302" s="2" t="s">
        <v>45</v>
      </c>
      <c r="AA302" s="2" t="s">
        <v>45</v>
      </c>
      <c r="AB302" s="2" t="str">
        <f>IFERROR(IF(A303=A302, Q302-X302, ""), "null")</f>
        <v>null</v>
      </c>
    </row>
    <row r="303" spans="1:28">
      <c r="A303" s="2" t="s">
        <v>202</v>
      </c>
      <c r="B303" s="2" t="str">
        <f>VLOOKUP(A303,Regions!A:B,2,0)</f>
        <v>East Asia &amp; Pacific</v>
      </c>
      <c r="C303" s="2">
        <v>2020</v>
      </c>
      <c r="D303" s="2" t="str">
        <f>IF(A304=A303,ABS(C304-C303),"")</f>
        <v/>
      </c>
      <c r="E303" s="2" t="str">
        <f>IFERROR(IF(A304=A303,((H303-H304)/(C303-C304)), ""), "null")</f>
        <v/>
      </c>
      <c r="F303" s="2">
        <v>1.618000031</v>
      </c>
      <c r="G303" s="2">
        <v>46.202003480000002</v>
      </c>
      <c r="H303" s="2">
        <v>97.010876179999997</v>
      </c>
      <c r="I303" s="2">
        <f>IFERROR(ROUND(H303,0),"null")</f>
        <v>97</v>
      </c>
      <c r="J303" s="2" t="str">
        <f>IF(AND(A304=A303,I303=100,I304=100),"full access", " ")</f>
        <v xml:space="preserve"> </v>
      </c>
      <c r="K303" s="2">
        <v>0</v>
      </c>
      <c r="L303" s="2">
        <v>2.9891238219999998</v>
      </c>
      <c r="M303" s="2">
        <v>0</v>
      </c>
      <c r="N303" s="2" t="s">
        <v>45</v>
      </c>
      <c r="O303" s="2" t="str">
        <f>IFERROR(ROUND(N303,0),"null")</f>
        <v>null</v>
      </c>
      <c r="P303" s="2" t="str">
        <f>IF(AND(A303=A304,O303=100,O304=100),"full access"," ")</f>
        <v xml:space="preserve"> </v>
      </c>
      <c r="Q303" s="2" t="str">
        <f>IFERROR(IF(A304=A303,((N303-N304)/(C303-C304)),""),"null")</f>
        <v/>
      </c>
      <c r="R303" s="2" t="s">
        <v>45</v>
      </c>
      <c r="S303" s="2" t="s">
        <v>45</v>
      </c>
      <c r="T303" s="2" t="s">
        <v>45</v>
      </c>
      <c r="U303" s="2" t="s">
        <v>45</v>
      </c>
      <c r="V303" s="2" t="str">
        <f>IFERROR(ROUND(U303,0),"null")</f>
        <v>null</v>
      </c>
      <c r="W303" s="2" t="str">
        <f>IF(AND(A303=A304,V303=100,V304=100),"full access","")</f>
        <v/>
      </c>
      <c r="X303" s="2" t="str">
        <f>IFERROR(IF(A304=A303,((U303-U304)/(C303-C304)),""),"null")</f>
        <v/>
      </c>
      <c r="Y303" s="2" t="s">
        <v>45</v>
      </c>
      <c r="Z303" s="2" t="s">
        <v>45</v>
      </c>
      <c r="AA303" s="2" t="s">
        <v>45</v>
      </c>
      <c r="AB303" s="2" t="str">
        <f>IFERROR(IF(A304=A303, Q303-X303, ""), "null")</f>
        <v/>
      </c>
    </row>
    <row r="304" spans="1:28">
      <c r="A304" s="2" t="s">
        <v>203</v>
      </c>
      <c r="B304" s="2" t="str">
        <f>VLOOKUP(A304,Regions!A:B,2,0)</f>
        <v>Europe &amp; Central Asia</v>
      </c>
      <c r="C304" s="2">
        <v>2015</v>
      </c>
      <c r="D304" s="2">
        <f>IF(A305=A304,ABS(C305-C304),"")</f>
        <v>5</v>
      </c>
      <c r="E304" s="2">
        <f>IFERROR(IF(A305=A304,((H304-H305)/(C304-C305)), ""), "null")</f>
        <v>5.4096591999999076E-2</v>
      </c>
      <c r="F304" s="2">
        <v>2079.334961</v>
      </c>
      <c r="G304" s="2">
        <v>57.407997129999998</v>
      </c>
      <c r="H304" s="2">
        <v>97.472332829999999</v>
      </c>
      <c r="I304" s="2">
        <f>IFERROR(ROUND(H304,0),"null")</f>
        <v>97</v>
      </c>
      <c r="J304" s="2" t="str">
        <f>IF(AND(A305=A304,I304=100,I305=100),"full access", " ")</f>
        <v xml:space="preserve"> </v>
      </c>
      <c r="K304" s="2">
        <v>1.8859917129999999</v>
      </c>
      <c r="L304" s="2">
        <v>0.59247317450000003</v>
      </c>
      <c r="M304" s="2">
        <v>4.9202279760000002E-2</v>
      </c>
      <c r="N304" s="2">
        <v>97.633233129999994</v>
      </c>
      <c r="O304" s="2">
        <f>IFERROR(ROUND(N304,0),"null")</f>
        <v>98</v>
      </c>
      <c r="P304" s="2" t="str">
        <f>IF(AND(A304=A305,O304=100,O305=100),"full access"," ")</f>
        <v xml:space="preserve"> </v>
      </c>
      <c r="Q304" s="2">
        <f>IFERROR(IF(A305=A304,((N304-N305)/(C304-C305)),""),"null")</f>
        <v>-3.2903711999998107E-2</v>
      </c>
      <c r="R304" s="2">
        <v>1.2224645000000001</v>
      </c>
      <c r="S304" s="2">
        <v>1.0287823730000001</v>
      </c>
      <c r="T304" s="2">
        <v>0.11552</v>
      </c>
      <c r="U304" s="2">
        <v>97.352958079999993</v>
      </c>
      <c r="V304" s="2">
        <f>IFERROR(ROUND(U304,0),"null")</f>
        <v>97</v>
      </c>
      <c r="W304" s="2" t="str">
        <f>IF(AND(A304=A305,V304=100,V305=100),"full access","")</f>
        <v/>
      </c>
      <c r="X304" s="2">
        <f>IFERROR(IF(A305=A304,((U304-U305)/(C304-C305)),""),"null")</f>
        <v>0.11688898200000039</v>
      </c>
      <c r="Y304" s="2">
        <v>2.37827419</v>
      </c>
      <c r="Z304" s="2">
        <v>0.2687677275</v>
      </c>
      <c r="AA304" s="2">
        <v>0</v>
      </c>
      <c r="AB304" s="2">
        <f>IFERROR(IF(A305=A304, Q304-X304, ""), "null")</f>
        <v>-0.14979269399999851</v>
      </c>
    </row>
    <row r="305" spans="1:28">
      <c r="A305" s="2" t="s">
        <v>203</v>
      </c>
      <c r="B305" s="2" t="str">
        <f>VLOOKUP(A305,Regions!A:B,2,0)</f>
        <v>Europe &amp; Central Asia</v>
      </c>
      <c r="C305" s="2">
        <v>2020</v>
      </c>
      <c r="D305" s="2" t="str">
        <f>IF(A306=A305,ABS(C306-C305),"")</f>
        <v/>
      </c>
      <c r="E305" s="2" t="str">
        <f>IFERROR(IF(A306=A305,((H305-H306)/(C305-C306)), ""), "null")</f>
        <v/>
      </c>
      <c r="F305" s="2">
        <v>2083.3798830000001</v>
      </c>
      <c r="G305" s="2">
        <v>58.481998439999998</v>
      </c>
      <c r="H305" s="2">
        <v>97.742815789999995</v>
      </c>
      <c r="I305" s="2">
        <f>IFERROR(ROUND(H305,0),"null")</f>
        <v>98</v>
      </c>
      <c r="J305" s="2" t="str">
        <f>IF(AND(A306=A305,I305=100,I306=100),"full access", " ")</f>
        <v xml:space="preserve"> </v>
      </c>
      <c r="K305" s="2">
        <v>1.6349941400000001</v>
      </c>
      <c r="L305" s="2">
        <v>0.57422847619999995</v>
      </c>
      <c r="M305" s="2">
        <v>4.796159706E-2</v>
      </c>
      <c r="N305" s="2">
        <v>97.468714570000003</v>
      </c>
      <c r="O305" s="2">
        <f>IFERROR(ROUND(N305,0),"null")</f>
        <v>97</v>
      </c>
      <c r="P305" s="2" t="str">
        <f>IF(AND(A305=A306,O305=100,O306=100),"full access"," ")</f>
        <v xml:space="preserve"> </v>
      </c>
      <c r="Q305" s="2" t="str">
        <f>IFERROR(IF(A306=A305,((N305-N306)/(C305-C306)),""),"null")</f>
        <v/>
      </c>
      <c r="R305" s="2">
        <v>1.505202232</v>
      </c>
      <c r="S305" s="2">
        <v>0.91056319819999998</v>
      </c>
      <c r="T305" s="2">
        <v>0.11552</v>
      </c>
      <c r="U305" s="2">
        <v>97.937402989999995</v>
      </c>
      <c r="V305" s="2">
        <f>IFERROR(ROUND(U305,0),"null")</f>
        <v>98</v>
      </c>
      <c r="W305" s="2" t="str">
        <f>IF(AND(A305=A306,V305=100,V306=100),"full access","")</f>
        <v/>
      </c>
      <c r="X305" s="2" t="str">
        <f>IFERROR(IF(A306=A305,((U305-U306)/(C305-C306)),""),"null")</f>
        <v/>
      </c>
      <c r="Y305" s="2">
        <v>1.7271369539999999</v>
      </c>
      <c r="Z305" s="2">
        <v>0.33546005629999998</v>
      </c>
      <c r="AA305" s="2">
        <v>0</v>
      </c>
      <c r="AB305" s="2" t="str">
        <f>IFERROR(IF(A306=A305, Q305-X305, ""), "null")</f>
        <v/>
      </c>
    </row>
    <row r="306" spans="1:28">
      <c r="A306" s="2" t="s">
        <v>204</v>
      </c>
      <c r="B306" s="2" t="str">
        <f>VLOOKUP(A306,Regions!A:B,2,0)</f>
        <v>East Asia &amp; Pacific</v>
      </c>
      <c r="C306" s="2">
        <v>2015</v>
      </c>
      <c r="D306" s="2">
        <f>IF(A307=A306,ABS(C307-C306),"")</f>
        <v>5</v>
      </c>
      <c r="E306" s="2">
        <f>IFERROR(IF(A307=A306,((H306-H307)/(C306-C307)), ""), "null")</f>
        <v>3.9633220000013123E-3</v>
      </c>
      <c r="F306" s="2">
        <v>55.778999329999998</v>
      </c>
      <c r="G306" s="2">
        <v>91.356994630000003</v>
      </c>
      <c r="H306" s="2">
        <v>99.980183389999993</v>
      </c>
      <c r="I306" s="2">
        <f>IFERROR(ROUND(H306,0),"null")</f>
        <v>100</v>
      </c>
      <c r="J306" s="2" t="str">
        <f>IF(AND(A307=A306,I306=100,I307=100),"full access", " ")</f>
        <v>full access</v>
      </c>
      <c r="K306" s="2">
        <v>0</v>
      </c>
      <c r="L306" s="2">
        <v>1.9816611519999999E-2</v>
      </c>
      <c r="M306" s="2">
        <v>0</v>
      </c>
      <c r="N306" s="2" t="s">
        <v>45</v>
      </c>
      <c r="O306" s="2" t="str">
        <f>IFERROR(ROUND(N306,0),"null")</f>
        <v>null</v>
      </c>
      <c r="P306" s="2" t="str">
        <f>IF(AND(A306=A307,O306=100,O307=100),"full access"," ")</f>
        <v xml:space="preserve"> </v>
      </c>
      <c r="Q306" s="2" t="str">
        <f>IFERROR(IF(A307=A306,((N306-N307)/(C306-C307)),""),"null")</f>
        <v>null</v>
      </c>
      <c r="R306" s="2" t="s">
        <v>45</v>
      </c>
      <c r="S306" s="2" t="s">
        <v>45</v>
      </c>
      <c r="T306" s="2" t="s">
        <v>45</v>
      </c>
      <c r="U306" s="2" t="s">
        <v>45</v>
      </c>
      <c r="V306" s="2" t="str">
        <f>IFERROR(ROUND(U306,0),"null")</f>
        <v>null</v>
      </c>
      <c r="W306" s="2" t="str">
        <f>IF(AND(A306=A307,V306=100,V307=100),"full access","")</f>
        <v/>
      </c>
      <c r="X306" s="2" t="str">
        <f>IFERROR(IF(A307=A306,((U306-U307)/(C306-C307)),""),"null")</f>
        <v>null</v>
      </c>
      <c r="Y306" s="2" t="s">
        <v>45</v>
      </c>
      <c r="Z306" s="2" t="s">
        <v>45</v>
      </c>
      <c r="AA306" s="2" t="s">
        <v>45</v>
      </c>
      <c r="AB306" s="2" t="str">
        <f>IFERROR(IF(A307=A306, Q306-X306, ""), "null")</f>
        <v>null</v>
      </c>
    </row>
    <row r="307" spans="1:28">
      <c r="A307" s="2" t="s">
        <v>204</v>
      </c>
      <c r="B307" s="2" t="str">
        <f>VLOOKUP(A307,Regions!A:B,2,0)</f>
        <v>East Asia &amp; Pacific</v>
      </c>
      <c r="C307" s="2">
        <v>2020</v>
      </c>
      <c r="D307" s="2" t="str">
        <f>IF(A308=A307,ABS(C308-C307),"")</f>
        <v/>
      </c>
      <c r="E307" s="2" t="str">
        <f>IFERROR(IF(A308=A307,((H307-H308)/(C307-C308)), ""), "null")</f>
        <v/>
      </c>
      <c r="F307" s="2">
        <v>57.556999210000001</v>
      </c>
      <c r="G307" s="2">
        <v>91.797996519999998</v>
      </c>
      <c r="H307" s="2">
        <v>100</v>
      </c>
      <c r="I307" s="2">
        <f>IFERROR(ROUND(H307,0),"null")</f>
        <v>100</v>
      </c>
      <c r="J307" s="2" t="str">
        <f>IF(AND(A308=A307,I307=100,I308=100),"full access", " ")</f>
        <v xml:space="preserve"> </v>
      </c>
      <c r="K307" s="2">
        <v>0</v>
      </c>
      <c r="L307" s="2">
        <v>0</v>
      </c>
      <c r="M307" s="2">
        <v>0</v>
      </c>
      <c r="N307" s="2" t="s">
        <v>45</v>
      </c>
      <c r="O307" s="2" t="str">
        <f>IFERROR(ROUND(N307,0),"null")</f>
        <v>null</v>
      </c>
      <c r="P307" s="2" t="str">
        <f>IF(AND(A307=A308,O307=100,O308=100),"full access"," ")</f>
        <v xml:space="preserve"> </v>
      </c>
      <c r="Q307" s="2" t="str">
        <f>IFERROR(IF(A308=A307,((N307-N308)/(C307-C308)),""),"null")</f>
        <v/>
      </c>
      <c r="R307" s="2" t="s">
        <v>45</v>
      </c>
      <c r="S307" s="2" t="s">
        <v>45</v>
      </c>
      <c r="T307" s="2" t="s">
        <v>45</v>
      </c>
      <c r="U307" s="2" t="s">
        <v>45</v>
      </c>
      <c r="V307" s="2" t="str">
        <f>IFERROR(ROUND(U307,0),"null")</f>
        <v>null</v>
      </c>
      <c r="W307" s="2" t="str">
        <f>IF(AND(A307=A308,V307=100,V308=100),"full access","")</f>
        <v/>
      </c>
      <c r="X307" s="2" t="str">
        <f>IFERROR(IF(A308=A307,((U307-U308)/(C307-C308)),""),"null")</f>
        <v/>
      </c>
      <c r="Y307" s="2" t="s">
        <v>45</v>
      </c>
      <c r="Z307" s="2" t="s">
        <v>45</v>
      </c>
      <c r="AA307" s="2" t="s">
        <v>45</v>
      </c>
      <c r="AB307" s="2" t="str">
        <f>IFERROR(IF(A308=A307, Q307-X307, ""), "null")</f>
        <v/>
      </c>
    </row>
    <row r="308" spans="1:28">
      <c r="A308" s="2" t="s">
        <v>205</v>
      </c>
      <c r="B308" s="2" t="str">
        <f>VLOOKUP(A308,Regions!A:B,2,0)</f>
        <v>Europe &amp; Central Asia</v>
      </c>
      <c r="C308" s="2">
        <v>2015</v>
      </c>
      <c r="D308" s="2">
        <f>IF(A309=A308,ABS(C309-C308),"")</f>
        <v>5</v>
      </c>
      <c r="E308" s="2">
        <f>IFERROR(IF(A309=A308,((H308-H309)/(C308-C309)), ""), "null")</f>
        <v>-1.1400000005323819E-6</v>
      </c>
      <c r="F308" s="2">
        <v>5199.8271480000003</v>
      </c>
      <c r="G308" s="2">
        <v>81.090995789999994</v>
      </c>
      <c r="H308" s="2">
        <v>100.0000012</v>
      </c>
      <c r="I308" s="2">
        <f>IFERROR(ROUND(H308,0),"null")</f>
        <v>100</v>
      </c>
      <c r="J308" s="2" t="str">
        <f>IF(AND(A309=A308,I308=100,I309=100),"full access", " ")</f>
        <v>full access</v>
      </c>
      <c r="K308" s="2">
        <v>0</v>
      </c>
      <c r="L308" s="2">
        <v>0</v>
      </c>
      <c r="M308" s="2">
        <v>0</v>
      </c>
      <c r="N308" s="2">
        <v>100</v>
      </c>
      <c r="O308" s="2">
        <f>IFERROR(ROUND(N308,0),"null")</f>
        <v>100</v>
      </c>
      <c r="P308" s="2" t="str">
        <f>IF(AND(A308=A309,O308=100,O309=100),"full access"," ")</f>
        <v>full access</v>
      </c>
      <c r="Q308" s="2">
        <f>IFERROR(IF(A309=A308,((N308-N309)/(C308-C309)),""),"null")</f>
        <v>0</v>
      </c>
      <c r="R308" s="2">
        <v>0</v>
      </c>
      <c r="S308" s="2">
        <v>0</v>
      </c>
      <c r="T308" s="2">
        <v>0</v>
      </c>
      <c r="U308" s="2">
        <v>100</v>
      </c>
      <c r="V308" s="2">
        <f>IFERROR(ROUND(U308,0),"null")</f>
        <v>100</v>
      </c>
      <c r="W308" s="2" t="str">
        <f>IF(AND(A308=A309,V308=100,V309=100),"full access","")</f>
        <v>full access</v>
      </c>
      <c r="X308" s="2">
        <f>IFERROR(IF(A309=A308,((U308-U309)/(C308-C309)),""),"null")</f>
        <v>0</v>
      </c>
      <c r="Y308" s="2">
        <v>0</v>
      </c>
      <c r="Z308" s="2">
        <v>0</v>
      </c>
      <c r="AA308" s="2">
        <v>0</v>
      </c>
      <c r="AB308" s="2">
        <f>IFERROR(IF(A309=A308, Q308-X308, ""), "null")</f>
        <v>0</v>
      </c>
    </row>
    <row r="309" spans="1:28">
      <c r="A309" s="2" t="s">
        <v>205</v>
      </c>
      <c r="B309" s="2" t="str">
        <f>VLOOKUP(A309,Regions!A:B,2,0)</f>
        <v>Europe &amp; Central Asia</v>
      </c>
      <c r="C309" s="2">
        <v>2020</v>
      </c>
      <c r="D309" s="2" t="str">
        <f>IF(A310=A309,ABS(C310-C309),"")</f>
        <v/>
      </c>
      <c r="E309" s="2" t="str">
        <f>IFERROR(IF(A310=A309,((H309-H310)/(C309-C310)), ""), "null")</f>
        <v/>
      </c>
      <c r="F309" s="2">
        <v>5421.2421880000002</v>
      </c>
      <c r="G309" s="2">
        <v>82.973991389999995</v>
      </c>
      <c r="H309" s="2">
        <v>99.999995499999997</v>
      </c>
      <c r="I309" s="2">
        <f>IFERROR(ROUND(H309,0),"null")</f>
        <v>100</v>
      </c>
      <c r="J309" s="2" t="str">
        <f>IF(AND(A310=A309,I309=100,I310=100),"full access", " ")</f>
        <v xml:space="preserve"> </v>
      </c>
      <c r="K309" s="2">
        <v>0</v>
      </c>
      <c r="L309" s="2">
        <v>4.5034074529999998E-6</v>
      </c>
      <c r="M309" s="2">
        <v>0</v>
      </c>
      <c r="N309" s="2">
        <v>100</v>
      </c>
      <c r="O309" s="2">
        <f>IFERROR(ROUND(N309,0),"null")</f>
        <v>100</v>
      </c>
      <c r="P309" s="2" t="str">
        <f>IF(AND(A309=A310,O309=100,O310=100),"full access"," ")</f>
        <v xml:space="preserve"> </v>
      </c>
      <c r="Q309" s="2" t="str">
        <f>IFERROR(IF(A310=A309,((N309-N310)/(C309-C310)),""),"null")</f>
        <v/>
      </c>
      <c r="R309" s="2">
        <v>0</v>
      </c>
      <c r="S309" s="2">
        <v>0</v>
      </c>
      <c r="T309" s="2">
        <v>0</v>
      </c>
      <c r="U309" s="2">
        <v>100</v>
      </c>
      <c r="V309" s="2">
        <f>IFERROR(ROUND(U309,0),"null")</f>
        <v>100</v>
      </c>
      <c r="W309" s="2" t="str">
        <f>IF(AND(A309=A310,V309=100,V310=100),"full access","")</f>
        <v/>
      </c>
      <c r="X309" s="2" t="str">
        <f>IFERROR(IF(A310=A309,((U309-U310)/(C309-C310)),""),"null")</f>
        <v/>
      </c>
      <c r="Y309" s="2">
        <v>0</v>
      </c>
      <c r="Z309" s="2">
        <v>0</v>
      </c>
      <c r="AA309" s="2">
        <v>0</v>
      </c>
      <c r="AB309" s="2" t="str">
        <f>IFERROR(IF(A310=A309, Q309-X309, ""), "null")</f>
        <v/>
      </c>
    </row>
    <row r="310" spans="1:28">
      <c r="A310" s="2" t="s">
        <v>206</v>
      </c>
      <c r="B310" s="2" t="str">
        <f>VLOOKUP(A310,Regions!A:B,2,0)</f>
        <v>Middle East &amp; North Africa</v>
      </c>
      <c r="C310" s="2">
        <v>2015</v>
      </c>
      <c r="D310" s="2">
        <f>IF(A311=A310,ABS(C311-C310),"")</f>
        <v>5</v>
      </c>
      <c r="E310" s="2">
        <f>IFERROR(IF(A311=A310,((H310-H311)/(C310-C311)), ""), "null")</f>
        <v>0.38590781000000052</v>
      </c>
      <c r="F310" s="2">
        <v>4267.3408200000003</v>
      </c>
      <c r="G310" s="2">
        <v>81.349998470000003</v>
      </c>
      <c r="H310" s="2">
        <v>90.238485639999993</v>
      </c>
      <c r="I310" s="2">
        <f>IFERROR(ROUND(H310,0),"null")</f>
        <v>90</v>
      </c>
      <c r="J310" s="2" t="str">
        <f>IF(AND(A311=A310,I310=100,I311=100),"full access", " ")</f>
        <v xml:space="preserve"> </v>
      </c>
      <c r="K310" s="2">
        <v>8.2088027879999999</v>
      </c>
      <c r="L310" s="2">
        <v>1.473142599</v>
      </c>
      <c r="M310" s="2">
        <v>7.9568975099999995E-2</v>
      </c>
      <c r="N310" s="2">
        <v>74.366908460000005</v>
      </c>
      <c r="O310" s="2">
        <f>IFERROR(ROUND(N310,0),"null")</f>
        <v>74</v>
      </c>
      <c r="P310" s="2" t="str">
        <f>IF(AND(A310=A311,O310=100,O311=100),"full access"," ")</f>
        <v xml:space="preserve"> </v>
      </c>
      <c r="Q310" s="2">
        <f>IFERROR(IF(A311=A310,((N310-N311)/(C310-C311)),""),"null")</f>
        <v>0.37677429000000018</v>
      </c>
      <c r="R310" s="2">
        <v>21.097672360000001</v>
      </c>
      <c r="S310" s="2">
        <v>4.3867318319999997</v>
      </c>
      <c r="T310" s="2">
        <v>0.14868735080000001</v>
      </c>
      <c r="U310" s="2">
        <v>93.877145080000005</v>
      </c>
      <c r="V310" s="2">
        <f>IFERROR(ROUND(U310,0),"null")</f>
        <v>94</v>
      </c>
      <c r="W310" s="2" t="str">
        <f>IF(AND(A310=A311,V310=100,V311=100),"full access","")</f>
        <v/>
      </c>
      <c r="X310" s="2">
        <f>IFERROR(IF(A311=A310,((U310-U311)/(C310-C311)),""),"null")</f>
        <v>0.1645709839999995</v>
      </c>
      <c r="Y310" s="2">
        <v>5.2539479289999997</v>
      </c>
      <c r="Z310" s="2">
        <v>0.80518384210000005</v>
      </c>
      <c r="AA310" s="2">
        <v>6.3723150359999994E-2</v>
      </c>
      <c r="AB310" s="2">
        <f>IFERROR(IF(A311=A310, Q310-X310, ""), "null")</f>
        <v>0.21220330600000067</v>
      </c>
    </row>
    <row r="311" spans="1:28">
      <c r="A311" s="2" t="s">
        <v>206</v>
      </c>
      <c r="B311" s="2" t="str">
        <f>VLOOKUP(A311,Regions!A:B,2,0)</f>
        <v>Middle East &amp; North Africa</v>
      </c>
      <c r="C311" s="2">
        <v>2020</v>
      </c>
      <c r="D311" s="2" t="str">
        <f>IF(A312=A311,ABS(C312-C311),"")</f>
        <v/>
      </c>
      <c r="E311" s="2" t="str">
        <f>IFERROR(IF(A312=A311,((H311-H312)/(C311-C312)), ""), "null")</f>
        <v/>
      </c>
      <c r="F311" s="2">
        <v>5106.6220700000003</v>
      </c>
      <c r="G311" s="2">
        <v>86.275993349999993</v>
      </c>
      <c r="H311" s="2">
        <v>92.168024689999996</v>
      </c>
      <c r="I311" s="2">
        <f>IFERROR(ROUND(H311,0),"null")</f>
        <v>92</v>
      </c>
      <c r="J311" s="2" t="str">
        <f>IF(AND(A312=A311,I311=100,I312=100),"full access", " ")</f>
        <v xml:space="preserve"> </v>
      </c>
      <c r="K311" s="2">
        <v>7.5414198929999996</v>
      </c>
      <c r="L311" s="2">
        <v>0.26040520360000002</v>
      </c>
      <c r="M311" s="2">
        <v>3.0150217449999999E-2</v>
      </c>
      <c r="N311" s="2">
        <v>76.250779910000006</v>
      </c>
      <c r="O311" s="2">
        <f>IFERROR(ROUND(N311,0),"null")</f>
        <v>76</v>
      </c>
      <c r="P311" s="2" t="str">
        <f>IF(AND(A311=A312,O311=100,O312=100),"full access"," ")</f>
        <v xml:space="preserve"> </v>
      </c>
      <c r="Q311" s="2" t="str">
        <f>IFERROR(IF(A312=A311,((N311-N312)/(C311-C312)),""),"null")</f>
        <v/>
      </c>
      <c r="R311" s="2">
        <v>21.632121130000002</v>
      </c>
      <c r="S311" s="2">
        <v>1.897409218</v>
      </c>
      <c r="T311" s="2">
        <v>0.21968973750000001</v>
      </c>
      <c r="U311" s="2">
        <v>94.7</v>
      </c>
      <c r="V311" s="2">
        <f>IFERROR(ROUND(U311,0),"null")</f>
        <v>95</v>
      </c>
      <c r="W311" s="2" t="str">
        <f>IF(AND(A311=A312,V311=100,V312=100),"full access","")</f>
        <v/>
      </c>
      <c r="X311" s="2" t="str">
        <f>IFERROR(IF(A312=A311,((U311-U312)/(C311-C312)),""),"null")</f>
        <v/>
      </c>
      <c r="Y311" s="2">
        <v>5.3</v>
      </c>
      <c r="Z311" s="2">
        <v>0</v>
      </c>
      <c r="AA311" s="2">
        <v>0</v>
      </c>
      <c r="AB311" s="2" t="str">
        <f>IFERROR(IF(A312=A311, Q311-X311, ""), "null")</f>
        <v/>
      </c>
    </row>
    <row r="312" spans="1:28">
      <c r="A312" s="2" t="s">
        <v>207</v>
      </c>
      <c r="B312" s="2" t="str">
        <f>VLOOKUP(A312,Regions!A:B,2,0)</f>
        <v>South Asia</v>
      </c>
      <c r="C312" s="2">
        <v>2015</v>
      </c>
      <c r="D312" s="2">
        <f>IF(A313=A312,ABS(C313-C312),"")</f>
        <v>5</v>
      </c>
      <c r="E312" s="2">
        <f>IFERROR(IF(A313=A312,((H312-H313)/(C312-C313)), ""), "null")</f>
        <v>0.13879654799999913</v>
      </c>
      <c r="F312" s="2">
        <v>199426.95310000001</v>
      </c>
      <c r="G312" s="2">
        <v>36.026000979999999</v>
      </c>
      <c r="H312" s="2">
        <v>89.454982340000001</v>
      </c>
      <c r="I312" s="2">
        <f>IFERROR(ROUND(H312,0),"null")</f>
        <v>89</v>
      </c>
      <c r="J312" s="2" t="str">
        <f>IF(AND(A313=A312,I312=100,I313=100),"full access", " ")</f>
        <v xml:space="preserve"> </v>
      </c>
      <c r="K312" s="2">
        <v>3.6559530200000001</v>
      </c>
      <c r="L312" s="2">
        <v>4.4216911899999998</v>
      </c>
      <c r="M312" s="2">
        <v>2.4673734469999999</v>
      </c>
      <c r="N312" s="2">
        <v>87.15095676</v>
      </c>
      <c r="O312" s="2">
        <f>IFERROR(ROUND(N312,0),"null")</f>
        <v>87</v>
      </c>
      <c r="P312" s="2" t="str">
        <f>IF(AND(A312=A313,O312=100,O313=100),"full access"," ")</f>
        <v xml:space="preserve"> </v>
      </c>
      <c r="Q312" s="2">
        <f>IFERROR(IF(A313=A312,((N312-N313)/(C312-C313)),""),"null")</f>
        <v>0.28978079999999978</v>
      </c>
      <c r="R312" s="2">
        <v>3.9565638390000002</v>
      </c>
      <c r="S312" s="2">
        <v>5.2364128790000004</v>
      </c>
      <c r="T312" s="2">
        <v>3.6560665229999998</v>
      </c>
      <c r="U312" s="2">
        <v>93.546408839999998</v>
      </c>
      <c r="V312" s="2">
        <f>IFERROR(ROUND(U312,0),"null")</f>
        <v>94</v>
      </c>
      <c r="W312" s="2" t="str">
        <f>IF(AND(A312=A313,V312=100,V313=100),"full access","")</f>
        <v/>
      </c>
      <c r="X312" s="2">
        <f>IFERROR(IF(A313=A312,((U312-U313)/(C312-C313)),""),"null")</f>
        <v>-0.15567179800000019</v>
      </c>
      <c r="Y312" s="2">
        <v>3.1221364330000001</v>
      </c>
      <c r="Z312" s="2">
        <v>2.9749303889999998</v>
      </c>
      <c r="AA312" s="2">
        <v>0.35652434</v>
      </c>
      <c r="AB312" s="2">
        <f>IFERROR(IF(A313=A312, Q312-X312, ""), "null")</f>
        <v>0.44545259799999998</v>
      </c>
    </row>
    <row r="313" spans="1:28">
      <c r="A313" s="2" t="s">
        <v>207</v>
      </c>
      <c r="B313" s="2" t="str">
        <f>VLOOKUP(A313,Regions!A:B,2,0)</f>
        <v>South Asia</v>
      </c>
      <c r="C313" s="2">
        <v>2020</v>
      </c>
      <c r="D313" s="2" t="str">
        <f>IF(A314=A313,ABS(C314-C313),"")</f>
        <v/>
      </c>
      <c r="E313" s="2" t="str">
        <f>IFERROR(IF(A314=A313,((H313-H314)/(C313-C314)), ""), "null")</f>
        <v/>
      </c>
      <c r="F313" s="2">
        <v>220892.32810000001</v>
      </c>
      <c r="G313" s="2">
        <v>37.165000919999997</v>
      </c>
      <c r="H313" s="2">
        <v>90.148965079999996</v>
      </c>
      <c r="I313" s="2">
        <f>IFERROR(ROUND(H313,0),"null")</f>
        <v>90</v>
      </c>
      <c r="J313" s="2" t="str">
        <f>IF(AND(A314=A313,I313=100,I314=100),"full access", " ")</f>
        <v xml:space="preserve"> </v>
      </c>
      <c r="K313" s="2">
        <v>3.8222795249999999</v>
      </c>
      <c r="L313" s="2">
        <v>4.4133075740000001</v>
      </c>
      <c r="M313" s="2">
        <v>1.61544782</v>
      </c>
      <c r="N313" s="2">
        <v>88.599860759999999</v>
      </c>
      <c r="O313" s="2">
        <f>IFERROR(ROUND(N313,0),"null")</f>
        <v>89</v>
      </c>
      <c r="P313" s="2" t="str">
        <f>IF(AND(A313=A314,O313=100,O314=100),"full access"," ")</f>
        <v xml:space="preserve"> </v>
      </c>
      <c r="Q313" s="2" t="str">
        <f>IFERROR(IF(A314=A313,((N313-N314)/(C313-C314)),""),"null")</f>
        <v/>
      </c>
      <c r="R313" s="2">
        <v>3.852278117</v>
      </c>
      <c r="S313" s="2">
        <v>5.1745965089999997</v>
      </c>
      <c r="T313" s="2">
        <v>2.3732646169999998</v>
      </c>
      <c r="U313" s="2">
        <v>92.768049849999997</v>
      </c>
      <c r="V313" s="2">
        <f>IFERROR(ROUND(U313,0),"null")</f>
        <v>93</v>
      </c>
      <c r="W313" s="2" t="str">
        <f>IF(AND(A313=A314,V313=100,V314=100),"full access","")</f>
        <v/>
      </c>
      <c r="X313" s="2" t="str">
        <f>IFERROR(IF(A314=A313,((U313-U314)/(C313-C314)),""),"null")</f>
        <v/>
      </c>
      <c r="Y313" s="2">
        <v>3.7715611619999998</v>
      </c>
      <c r="Z313" s="2">
        <v>3.126184571</v>
      </c>
      <c r="AA313" s="2">
        <v>0.33420442230000003</v>
      </c>
      <c r="AB313" s="2" t="str">
        <f>IFERROR(IF(A314=A313, Q313-X313, ""), "null")</f>
        <v/>
      </c>
    </row>
    <row r="314" spans="1:28">
      <c r="A314" s="2" t="s">
        <v>208</v>
      </c>
      <c r="B314" s="2" t="str">
        <f>VLOOKUP(A314,Regions!A:B,2,0)</f>
        <v>East Asia &amp; Pacific</v>
      </c>
      <c r="C314" s="2">
        <v>2015</v>
      </c>
      <c r="D314" s="2">
        <f>IF(A315=A314,ABS(C315-C314),"")</f>
        <v>5</v>
      </c>
      <c r="E314" s="2">
        <f>IFERROR(IF(A315=A314,((H314-H315)/(C314-C315)), ""), "null")</f>
        <v>5.4789299999981724E-3</v>
      </c>
      <c r="F314" s="2">
        <v>17.665000920000001</v>
      </c>
      <c r="G314" s="2">
        <v>78.158996579999993</v>
      </c>
      <c r="H314" s="2">
        <v>99.630150850000007</v>
      </c>
      <c r="I314" s="2">
        <f>IFERROR(ROUND(H314,0),"null")</f>
        <v>100</v>
      </c>
      <c r="J314" s="2" t="str">
        <f>IF(AND(A315=A314,I314=100,I315=100),"full access", " ")</f>
        <v>full access</v>
      </c>
      <c r="K314" s="2">
        <v>0</v>
      </c>
      <c r="L314" s="2">
        <v>0.36984914990000001</v>
      </c>
      <c r="M314" s="2">
        <v>0</v>
      </c>
      <c r="N314" s="2">
        <v>99.61387148</v>
      </c>
      <c r="O314" s="2">
        <f>IFERROR(ROUND(N314,0),"null")</f>
        <v>100</v>
      </c>
      <c r="P314" s="2" t="str">
        <f>IF(AND(A314=A315,O314=100,O315=100),"full access"," ")</f>
        <v>full access</v>
      </c>
      <c r="Q314" s="2">
        <f>IFERROR(IF(A315=A314,((N314-N315)/(C314-C315)),""),"null")</f>
        <v>2.8622709999999073E-2</v>
      </c>
      <c r="R314" s="2">
        <v>0</v>
      </c>
      <c r="S314" s="2">
        <v>0.38612851729999997</v>
      </c>
      <c r="T314" s="2">
        <v>0</v>
      </c>
      <c r="U314" s="2">
        <v>99.634701730000003</v>
      </c>
      <c r="V314" s="2">
        <f>IFERROR(ROUND(U314,0),"null")</f>
        <v>100</v>
      </c>
      <c r="W314" s="2" t="str">
        <f>IF(AND(A314=A315,V314=100,V315=100),"full access","")</f>
        <v>full access</v>
      </c>
      <c r="X314" s="2">
        <f>IFERROR(IF(A315=A314,((U314-U315)/(C314-C315)),""),"null")</f>
        <v>-9.9948000001859325E-5</v>
      </c>
      <c r="Y314" s="2">
        <v>0</v>
      </c>
      <c r="Z314" s="2">
        <v>0.36529827059999997</v>
      </c>
      <c r="AA314" s="2">
        <v>0</v>
      </c>
      <c r="AB314" s="2">
        <f>IFERROR(IF(A315=A314, Q314-X314, ""), "null")</f>
        <v>2.8722658000000931E-2</v>
      </c>
    </row>
    <row r="315" spans="1:28">
      <c r="A315" s="2" t="s">
        <v>208</v>
      </c>
      <c r="B315" s="2" t="str">
        <f>VLOOKUP(A315,Regions!A:B,2,0)</f>
        <v>East Asia &amp; Pacific</v>
      </c>
      <c r="C315" s="2">
        <v>2020</v>
      </c>
      <c r="D315" s="2" t="str">
        <f>IF(A316=A315,ABS(C316-C315),"")</f>
        <v/>
      </c>
      <c r="E315" s="2" t="str">
        <f>IFERROR(IF(A316=A315,((H315-H316)/(C315-C316)), ""), "null")</f>
        <v/>
      </c>
      <c r="F315" s="2">
        <v>18.091999049999998</v>
      </c>
      <c r="G315" s="2">
        <v>80.987998959999999</v>
      </c>
      <c r="H315" s="2">
        <v>99.657545499999998</v>
      </c>
      <c r="I315" s="2">
        <f>IFERROR(ROUND(H315,0),"null")</f>
        <v>100</v>
      </c>
      <c r="J315" s="2" t="str">
        <f>IF(AND(A316=A315,I315=100,I316=100),"full access", " ")</f>
        <v xml:space="preserve"> </v>
      </c>
      <c r="K315" s="2">
        <v>0</v>
      </c>
      <c r="L315" s="2">
        <v>0.34245449839999997</v>
      </c>
      <c r="M315" s="2">
        <v>0</v>
      </c>
      <c r="N315" s="2">
        <v>99.756985029999996</v>
      </c>
      <c r="O315" s="2">
        <f>IFERROR(ROUND(N315,0),"null")</f>
        <v>100</v>
      </c>
      <c r="P315" s="2" t="str">
        <f>IF(AND(A315=A316,O315=100,O316=100),"full access"," ")</f>
        <v xml:space="preserve"> </v>
      </c>
      <c r="Q315" s="2" t="str">
        <f>IFERROR(IF(A316=A315,((N315-N316)/(C315-C316)),""),"null")</f>
        <v/>
      </c>
      <c r="R315" s="2">
        <v>0</v>
      </c>
      <c r="S315" s="2">
        <v>0.2430149677</v>
      </c>
      <c r="T315" s="2">
        <v>0</v>
      </c>
      <c r="U315" s="2">
        <v>99.634201989999994</v>
      </c>
      <c r="V315" s="2">
        <f>IFERROR(ROUND(U315,0),"null")</f>
        <v>100</v>
      </c>
      <c r="W315" s="2" t="str">
        <f>IF(AND(A315=A316,V315=100,V316=100),"full access","")</f>
        <v/>
      </c>
      <c r="X315" s="2" t="str">
        <f>IFERROR(IF(A316=A315,((U315-U316)/(C315-C316)),""),"null")</f>
        <v/>
      </c>
      <c r="Y315" s="2">
        <v>0</v>
      </c>
      <c r="Z315" s="2">
        <v>0.36579800779999999</v>
      </c>
      <c r="AA315" s="2">
        <v>0</v>
      </c>
      <c r="AB315" s="2" t="str">
        <f>IFERROR(IF(A316=A315, Q315-X315, ""), "null")</f>
        <v/>
      </c>
    </row>
    <row r="316" spans="1:28">
      <c r="A316" s="2" t="s">
        <v>209</v>
      </c>
      <c r="B316" s="2" t="str">
        <f>VLOOKUP(A316,Regions!A:B,2,0)</f>
        <v>Latin America &amp; Caribbean</v>
      </c>
      <c r="C316" s="2">
        <v>2015</v>
      </c>
      <c r="D316" s="2">
        <f>IF(A317=A316,ABS(C317-C316),"")</f>
        <v>5</v>
      </c>
      <c r="E316" s="2">
        <f>IFERROR(IF(A317=A316,((H316-H317)/(C316-C317)), ""), "null")</f>
        <v>0.29363575000000142</v>
      </c>
      <c r="F316" s="2">
        <v>3968.48999</v>
      </c>
      <c r="G316" s="2">
        <v>66.695999150000006</v>
      </c>
      <c r="H316" s="2">
        <v>92.904365609999999</v>
      </c>
      <c r="I316" s="2">
        <f>IFERROR(ROUND(H316,0),"null")</f>
        <v>93</v>
      </c>
      <c r="J316" s="2" t="str">
        <f>IF(AND(A317=A316,I316=100,I317=100),"full access", " ")</f>
        <v xml:space="preserve"> </v>
      </c>
      <c r="K316" s="2">
        <v>1.845644171</v>
      </c>
      <c r="L316" s="2">
        <v>3.160016841</v>
      </c>
      <c r="M316" s="2">
        <v>2.08997338</v>
      </c>
      <c r="N316" s="2">
        <v>83.679579529999998</v>
      </c>
      <c r="O316" s="2">
        <f>IFERROR(ROUND(N316,0),"null")</f>
        <v>84</v>
      </c>
      <c r="P316" s="2" t="str">
        <f>IF(AND(A316=A317,O316=100,O317=100),"full access"," ")</f>
        <v xml:space="preserve"> </v>
      </c>
      <c r="Q316" s="2">
        <f>IFERROR(IF(A317=A316,((N316-N317)/(C316-C317)),""),"null")</f>
        <v>0.52870074600000128</v>
      </c>
      <c r="R316" s="2">
        <v>1.737106037</v>
      </c>
      <c r="S316" s="2">
        <v>8.379298168</v>
      </c>
      <c r="T316" s="2">
        <v>6.2040162600000004</v>
      </c>
      <c r="U316" s="2">
        <v>97.510677389999998</v>
      </c>
      <c r="V316" s="2">
        <f>IFERROR(ROUND(U316,0),"null")</f>
        <v>98</v>
      </c>
      <c r="W316" s="2" t="str">
        <f>IF(AND(A316=A317,V316=100,V317=100),"full access","")</f>
        <v/>
      </c>
      <c r="X316" s="2">
        <f>IFERROR(IF(A317=A316,((U316-U317)/(C316-C317)),""),"null")</f>
        <v>0.11564305600000183</v>
      </c>
      <c r="Y316" s="2">
        <v>1.899841721</v>
      </c>
      <c r="Z316" s="2">
        <v>0.55381483909999996</v>
      </c>
      <c r="AA316" s="2">
        <v>3.5666046159999999E-2</v>
      </c>
      <c r="AB316" s="2">
        <f>IFERROR(IF(A317=A316, Q316-X316, ""), "null")</f>
        <v>0.41305768999999948</v>
      </c>
    </row>
    <row r="317" spans="1:28">
      <c r="A317" s="2" t="s">
        <v>209</v>
      </c>
      <c r="B317" s="2" t="str">
        <f>VLOOKUP(A317,Regions!A:B,2,0)</f>
        <v>Latin America &amp; Caribbean</v>
      </c>
      <c r="C317" s="2">
        <v>2020</v>
      </c>
      <c r="D317" s="2" t="str">
        <f>IF(A318=A317,ABS(C318-C317),"")</f>
        <v/>
      </c>
      <c r="E317" s="2" t="str">
        <f>IFERROR(IF(A318=A317,((H317-H318)/(C317-C318)), ""), "null")</f>
        <v/>
      </c>
      <c r="F317" s="2">
        <v>4314.7680659999996</v>
      </c>
      <c r="G317" s="2">
        <v>68.414001459999994</v>
      </c>
      <c r="H317" s="2">
        <v>94.372544360000006</v>
      </c>
      <c r="I317" s="2">
        <f>IFERROR(ROUND(H317,0),"null")</f>
        <v>94</v>
      </c>
      <c r="J317" s="2" t="str">
        <f>IF(AND(A318=A317,I317=100,I318=100),"full access", " ")</f>
        <v xml:space="preserve"> </v>
      </c>
      <c r="K317" s="2">
        <v>1.8734805919999999</v>
      </c>
      <c r="L317" s="2">
        <v>2.2623042469999999</v>
      </c>
      <c r="M317" s="2">
        <v>1.491670799</v>
      </c>
      <c r="N317" s="2">
        <v>86.323083260000004</v>
      </c>
      <c r="O317" s="2">
        <f>IFERROR(ROUND(N317,0),"null")</f>
        <v>86</v>
      </c>
      <c r="P317" s="2" t="str">
        <f>IF(AND(A317=A318,O317=100,O318=100),"full access"," ")</f>
        <v xml:space="preserve"> </v>
      </c>
      <c r="Q317" s="2" t="str">
        <f>IFERROR(IF(A318=A317,((N317-N318)/(C317-C318)),""),"null")</f>
        <v/>
      </c>
      <c r="R317" s="2">
        <v>1.791982583</v>
      </c>
      <c r="S317" s="2">
        <v>7.1623643420000001</v>
      </c>
      <c r="T317" s="2">
        <v>4.7225698109999996</v>
      </c>
      <c r="U317" s="2">
        <v>98.088892670000007</v>
      </c>
      <c r="V317" s="2">
        <f>IFERROR(ROUND(U317,0),"null")</f>
        <v>98</v>
      </c>
      <c r="W317" s="2" t="str">
        <f>IF(AND(A317=A318,V317=100,V318=100),"full access","")</f>
        <v/>
      </c>
      <c r="X317" s="2" t="str">
        <f>IFERROR(IF(A318=A317,((U317-U318)/(C317-C318)),""),"null")</f>
        <v/>
      </c>
      <c r="Y317" s="2">
        <v>1.9111073329999999</v>
      </c>
      <c r="Z317" s="2">
        <v>0</v>
      </c>
      <c r="AA317" s="2">
        <v>0</v>
      </c>
      <c r="AB317" s="2" t="str">
        <f>IFERROR(IF(A318=A317, Q317-X317, ""), "null")</f>
        <v/>
      </c>
    </row>
    <row r="318" spans="1:28">
      <c r="A318" s="2" t="s">
        <v>210</v>
      </c>
      <c r="B318" s="2" t="str">
        <f>VLOOKUP(A318,Regions!A:B,2,0)</f>
        <v>East Asia &amp; Pacific</v>
      </c>
      <c r="C318" s="2">
        <v>2015</v>
      </c>
      <c r="D318" s="2">
        <f>IF(A319=A318,ABS(C319-C318),"")</f>
        <v>5</v>
      </c>
      <c r="E318" s="2">
        <f>IFERROR(IF(A319=A318,((H318-H319)/(C318-C319)), ""), "null")</f>
        <v>0.77170181600000087</v>
      </c>
      <c r="F318" s="2">
        <v>8107.7719729999999</v>
      </c>
      <c r="G318" s="2">
        <v>13.01200008</v>
      </c>
      <c r="H318" s="2">
        <v>41.485508439999997</v>
      </c>
      <c r="I318" s="2">
        <f>IFERROR(ROUND(H318,0),"null")</f>
        <v>41</v>
      </c>
      <c r="J318" s="2" t="str">
        <f>IF(AND(A319=A318,I318=100,I319=100),"full access", " ")</f>
        <v xml:space="preserve"> </v>
      </c>
      <c r="K318" s="2">
        <v>1.8099530800000001</v>
      </c>
      <c r="L318" s="2">
        <v>21.261051999999999</v>
      </c>
      <c r="M318" s="2">
        <v>35.443486479999997</v>
      </c>
      <c r="N318" s="2">
        <v>34.990633000000003</v>
      </c>
      <c r="O318" s="2">
        <f>IFERROR(ROUND(N318,0),"null")</f>
        <v>35</v>
      </c>
      <c r="P318" s="2" t="str">
        <f>IF(AND(A318=A319,O318=100,O319=100),"full access"," ")</f>
        <v xml:space="preserve"> </v>
      </c>
      <c r="Q318" s="2">
        <f>IFERROR(IF(A319=A318,((N318-N319)/(C318-C319)),""),"null")</f>
        <v>0.81614213399999902</v>
      </c>
      <c r="R318" s="2">
        <v>1.8047244330000001</v>
      </c>
      <c r="S318" s="2">
        <v>23.25354875</v>
      </c>
      <c r="T318" s="2">
        <v>39.951093819999997</v>
      </c>
      <c r="U318" s="2">
        <v>84.90514306</v>
      </c>
      <c r="V318" s="2">
        <f>IFERROR(ROUND(U318,0),"null")</f>
        <v>85</v>
      </c>
      <c r="W318" s="2" t="str">
        <f>IF(AND(A318=A319,V318=100,V319=100),"full access","")</f>
        <v/>
      </c>
      <c r="X318" s="2">
        <f>IFERROR(IF(A319=A318,((U318-U319)/(C318-C319)),""),"null")</f>
        <v>0.2340257159999993</v>
      </c>
      <c r="Y318" s="2">
        <v>1.844907912</v>
      </c>
      <c r="Z318" s="2">
        <v>7.9407764350000001</v>
      </c>
      <c r="AA318" s="2">
        <v>5.309172598</v>
      </c>
      <c r="AB318" s="2">
        <f>IFERROR(IF(A319=A318, Q318-X318, ""), "null")</f>
        <v>0.58211641799999969</v>
      </c>
    </row>
    <row r="319" spans="1:28">
      <c r="A319" s="2" t="s">
        <v>210</v>
      </c>
      <c r="B319" s="2" t="str">
        <f>VLOOKUP(A319,Regions!A:B,2,0)</f>
        <v>East Asia &amp; Pacific</v>
      </c>
      <c r="C319" s="2">
        <v>2020</v>
      </c>
      <c r="D319" s="2" t="str">
        <f>IF(A320=A319,ABS(C320-C319),"")</f>
        <v/>
      </c>
      <c r="E319" s="2" t="str">
        <f>IFERROR(IF(A320=A319,((H319-H320)/(C319-C320)), ""), "null")</f>
        <v/>
      </c>
      <c r="F319" s="2">
        <v>8947.0273440000001</v>
      </c>
      <c r="G319" s="2">
        <v>13.34500027</v>
      </c>
      <c r="H319" s="2">
        <v>45.344017520000001</v>
      </c>
      <c r="I319" s="2">
        <f>IFERROR(ROUND(H319,0),"null")</f>
        <v>45</v>
      </c>
      <c r="J319" s="2" t="str">
        <f>IF(AND(A320=A319,I319=100,I320=100),"full access", " ")</f>
        <v xml:space="preserve"> </v>
      </c>
      <c r="K319" s="2">
        <v>2.128564452</v>
      </c>
      <c r="L319" s="2">
        <v>22.157624949999999</v>
      </c>
      <c r="M319" s="2">
        <v>30.369793080000001</v>
      </c>
      <c r="N319" s="2">
        <v>39.071343669999997</v>
      </c>
      <c r="O319" s="2">
        <f>IFERROR(ROUND(N319,0),"null")</f>
        <v>39</v>
      </c>
      <c r="P319" s="2" t="str">
        <f>IF(AND(A319=A320,O319=100,O320=100),"full access"," ")</f>
        <v xml:space="preserve"> </v>
      </c>
      <c r="Q319" s="2" t="str">
        <f>IFERROR(IF(A320=A319,((N319-N320)/(C319-C320)),""),"null")</f>
        <v/>
      </c>
      <c r="R319" s="2">
        <v>2.4298502929999999</v>
      </c>
      <c r="S319" s="2">
        <v>24.431800859999999</v>
      </c>
      <c r="T319" s="2">
        <v>34.067005170000002</v>
      </c>
      <c r="U319" s="2">
        <v>86.075271639999997</v>
      </c>
      <c r="V319" s="2">
        <f>IFERROR(ROUND(U319,0),"null")</f>
        <v>86</v>
      </c>
      <c r="W319" s="2" t="str">
        <f>IF(AND(A319=A320,V319=100,V320=100),"full access","")</f>
        <v/>
      </c>
      <c r="X319" s="2" t="str">
        <f>IFERROR(IF(A320=A319,((U319-U320)/(C319-C320)),""),"null")</f>
        <v/>
      </c>
      <c r="Y319" s="2">
        <v>0.17218226079999999</v>
      </c>
      <c r="Z319" s="2">
        <v>7.3903855639999998</v>
      </c>
      <c r="AA319" s="2">
        <v>6.3621605319999999</v>
      </c>
      <c r="AB319" s="2" t="str">
        <f>IFERROR(IF(A320=A319, Q319-X319, ""), "null")</f>
        <v/>
      </c>
    </row>
    <row r="320" spans="1:28">
      <c r="A320" s="2" t="s">
        <v>211</v>
      </c>
      <c r="B320" s="2" t="str">
        <f>VLOOKUP(A320,Regions!A:B,2,0)</f>
        <v>Latin America &amp; Caribbean</v>
      </c>
      <c r="C320" s="2">
        <v>2015</v>
      </c>
      <c r="D320" s="2">
        <f>IF(A321=A320,ABS(C321-C320),"")</f>
        <v>5</v>
      </c>
      <c r="E320" s="2">
        <f>IFERROR(IF(A321=A320,((H320-H321)/(C320-C321)), ""), "null")</f>
        <v>0.55145035999999836</v>
      </c>
      <c r="F320" s="2">
        <v>6688.7460940000001</v>
      </c>
      <c r="G320" s="2">
        <v>60.75</v>
      </c>
      <c r="H320" s="2">
        <v>96.836214530000007</v>
      </c>
      <c r="I320" s="2">
        <f>IFERROR(ROUND(H320,0),"null")</f>
        <v>97</v>
      </c>
      <c r="J320" s="2" t="str">
        <f>IF(AND(A321=A320,I320=100,I321=100),"full access", " ")</f>
        <v xml:space="preserve"> </v>
      </c>
      <c r="K320" s="2">
        <v>0.32842400300000002</v>
      </c>
      <c r="L320" s="2">
        <v>2.7567681990000001</v>
      </c>
      <c r="M320" s="2">
        <v>7.8593266980000007E-2</v>
      </c>
      <c r="N320" s="2">
        <v>93.344700290000006</v>
      </c>
      <c r="O320" s="2">
        <f>IFERROR(ROUND(N320,0),"null")</f>
        <v>93</v>
      </c>
      <c r="P320" s="2" t="str">
        <f>IF(AND(A320=A321,O320=100,O321=100),"full access"," ")</f>
        <v xml:space="preserve"> </v>
      </c>
      <c r="Q320" s="2">
        <f>IFERROR(IF(A321=A320,((N320-N321)/(C320-C321)),""),"null")</f>
        <v>1.1533054479999976</v>
      </c>
      <c r="R320" s="2">
        <v>0.69766643969999997</v>
      </c>
      <c r="S320" s="2">
        <v>5.757395646</v>
      </c>
      <c r="T320" s="2">
        <v>0.20023762880000001</v>
      </c>
      <c r="U320" s="2">
        <v>99.092048730000002</v>
      </c>
      <c r="V320" s="2">
        <f>IFERROR(ROUND(U320,0),"null")</f>
        <v>99</v>
      </c>
      <c r="W320" s="2" t="str">
        <f>IF(AND(A320=A321,V320=100,V321=100),"full access","")</f>
        <v/>
      </c>
      <c r="X320" s="2">
        <f>IFERROR(IF(A321=A320,((U320-U321)/(C320-C321)),""),"null")</f>
        <v>0.15893996199999946</v>
      </c>
      <c r="Y320" s="2">
        <v>8.9859971169999997E-2</v>
      </c>
      <c r="Z320" s="2">
        <v>0.81809130100000005</v>
      </c>
      <c r="AA320" s="2">
        <v>0</v>
      </c>
      <c r="AB320" s="2">
        <f>IFERROR(IF(A321=A320, Q320-X320, ""), "null")</f>
        <v>0.99436548599999808</v>
      </c>
    </row>
    <row r="321" spans="1:28">
      <c r="A321" s="2" t="s">
        <v>211</v>
      </c>
      <c r="B321" s="2" t="str">
        <f>VLOOKUP(A321,Regions!A:B,2,0)</f>
        <v>Latin America &amp; Caribbean</v>
      </c>
      <c r="C321" s="2">
        <v>2020</v>
      </c>
      <c r="D321" s="2" t="str">
        <f>IF(A322=A321,ABS(C322-C321),"")</f>
        <v/>
      </c>
      <c r="E321" s="2" t="str">
        <f>IFERROR(IF(A322=A321,((H321-H322)/(C321-C322)), ""), "null")</f>
        <v/>
      </c>
      <c r="F321" s="2">
        <v>7132.5297849999997</v>
      </c>
      <c r="G321" s="2">
        <v>62.182994839999999</v>
      </c>
      <c r="H321" s="2">
        <v>99.593466329999998</v>
      </c>
      <c r="I321" s="2">
        <f>IFERROR(ROUND(H321,0),"null")</f>
        <v>100</v>
      </c>
      <c r="J321" s="2" t="str">
        <f>IF(AND(A322=A321,I321=100,I322=100),"full access", " ")</f>
        <v xml:space="preserve"> </v>
      </c>
      <c r="K321" s="2">
        <v>0.40653024389999998</v>
      </c>
      <c r="L321" s="2">
        <v>3.4229177000000001E-6</v>
      </c>
      <c r="M321" s="2">
        <v>0</v>
      </c>
      <c r="N321" s="2">
        <v>99.111227529999994</v>
      </c>
      <c r="O321" s="2">
        <f>IFERROR(ROUND(N321,0),"null")</f>
        <v>99</v>
      </c>
      <c r="P321" s="2" t="str">
        <f>IF(AND(A321=A322,O321=100,O322=100),"full access"," ")</f>
        <v xml:space="preserve"> </v>
      </c>
      <c r="Q321" s="2" t="str">
        <f>IFERROR(IF(A322=A321,((N321-N322)/(C321-C322)),""),"null")</f>
        <v/>
      </c>
      <c r="R321" s="2">
        <v>0.88877246840000002</v>
      </c>
      <c r="S321" s="2">
        <v>0</v>
      </c>
      <c r="T321" s="2">
        <v>0</v>
      </c>
      <c r="U321" s="2">
        <v>99.886748539999999</v>
      </c>
      <c r="V321" s="2">
        <f>IFERROR(ROUND(U321,0),"null")</f>
        <v>100</v>
      </c>
      <c r="W321" s="2" t="str">
        <f>IF(AND(A321=A322,V321=100,V322=100),"full access","")</f>
        <v/>
      </c>
      <c r="X321" s="2" t="str">
        <f>IFERROR(IF(A322=A321,((U321-U322)/(C321-C322)),""),"null")</f>
        <v/>
      </c>
      <c r="Y321" s="2">
        <v>0.11325146429999999</v>
      </c>
      <c r="Z321" s="2">
        <v>0</v>
      </c>
      <c r="AA321" s="2">
        <v>0</v>
      </c>
      <c r="AB321" s="2" t="str">
        <f>IFERROR(IF(A322=A321, Q321-X321, ""), "null")</f>
        <v/>
      </c>
    </row>
    <row r="322" spans="1:28">
      <c r="A322" s="2" t="s">
        <v>212</v>
      </c>
      <c r="B322" s="2" t="str">
        <f>VLOOKUP(A322,Regions!A:B,2,0)</f>
        <v>Latin America &amp; Caribbean</v>
      </c>
      <c r="C322" s="2">
        <v>2015</v>
      </c>
      <c r="D322" s="2">
        <f>IF(A323=A322,ABS(C323-C322),"")</f>
        <v>5</v>
      </c>
      <c r="E322" s="2">
        <f>IFERROR(IF(A323=A322,((H322-H323)/(C322-C323)), ""), "null")</f>
        <v>0.57147263399999981</v>
      </c>
      <c r="F322" s="2">
        <v>30470.738280000001</v>
      </c>
      <c r="G322" s="2">
        <v>77.357002260000002</v>
      </c>
      <c r="H322" s="2">
        <v>90.282003040000006</v>
      </c>
      <c r="I322" s="2">
        <f>IFERROR(ROUND(H322,0),"null")</f>
        <v>90</v>
      </c>
      <c r="J322" s="2" t="str">
        <f>IF(AND(A323=A322,I322=100,I323=100),"full access", " ")</f>
        <v xml:space="preserve"> </v>
      </c>
      <c r="K322" s="2">
        <v>0.93258347190000002</v>
      </c>
      <c r="L322" s="2">
        <v>5.7636260549999996</v>
      </c>
      <c r="M322" s="2">
        <v>3.0217874390000001</v>
      </c>
      <c r="N322" s="2">
        <v>73.287623839999995</v>
      </c>
      <c r="O322" s="2">
        <f>IFERROR(ROUND(N322,0),"null")</f>
        <v>73</v>
      </c>
      <c r="P322" s="2" t="str">
        <f>IF(AND(A322=A323,O322=100,O323=100),"full access"," ")</f>
        <v xml:space="preserve"> </v>
      </c>
      <c r="Q322" s="2">
        <f>IFERROR(IF(A323=A322,((N322-N323)/(C322-C323)),""),"null")</f>
        <v>1.502362930000001</v>
      </c>
      <c r="R322" s="2">
        <v>1.5230403370000001</v>
      </c>
      <c r="S322" s="2">
        <v>12.99206766</v>
      </c>
      <c r="T322" s="2">
        <v>12.197268169999999</v>
      </c>
      <c r="U322" s="2">
        <v>95.256387020000005</v>
      </c>
      <c r="V322" s="2">
        <f>IFERROR(ROUND(U322,0),"null")</f>
        <v>95</v>
      </c>
      <c r="W322" s="2" t="str">
        <f>IF(AND(A322=A323,V322=100,V323=100),"full access","")</f>
        <v/>
      </c>
      <c r="X322" s="2">
        <f>IFERROR(IF(A323=A322,((U322-U323)/(C322-C323)),""),"null")</f>
        <v>0.2606914119999999</v>
      </c>
      <c r="Y322" s="2">
        <v>0.75975208999999999</v>
      </c>
      <c r="Z322" s="2">
        <v>3.6478085579999999</v>
      </c>
      <c r="AA322" s="2">
        <v>0.33605232909999999</v>
      </c>
      <c r="AB322" s="2">
        <f>IFERROR(IF(A323=A322, Q322-X322, ""), "null")</f>
        <v>1.2416715180000011</v>
      </c>
    </row>
    <row r="323" spans="1:28">
      <c r="A323" s="2" t="s">
        <v>212</v>
      </c>
      <c r="B323" s="2" t="str">
        <f>VLOOKUP(A323,Regions!A:B,2,0)</f>
        <v>Latin America &amp; Caribbean</v>
      </c>
      <c r="C323" s="2">
        <v>2020</v>
      </c>
      <c r="D323" s="2" t="str">
        <f>IF(A324=A323,ABS(C324-C323),"")</f>
        <v/>
      </c>
      <c r="E323" s="2" t="str">
        <f>IFERROR(IF(A324=A323,((H323-H324)/(C323-C324)), ""), "null")</f>
        <v/>
      </c>
      <c r="F323" s="2">
        <v>32971.847659999999</v>
      </c>
      <c r="G323" s="2">
        <v>78.297004700000002</v>
      </c>
      <c r="H323" s="2">
        <v>93.139366210000006</v>
      </c>
      <c r="I323" s="2">
        <f>IFERROR(ROUND(H323,0),"null")</f>
        <v>93</v>
      </c>
      <c r="J323" s="2" t="str">
        <f>IF(AND(A324=A323,I323=100,I324=100),"full access", " ")</f>
        <v xml:space="preserve"> </v>
      </c>
      <c r="K323" s="2">
        <v>0.84955935110000003</v>
      </c>
      <c r="L323" s="2">
        <v>4.1504683489999996</v>
      </c>
      <c r="M323" s="2">
        <v>1.8606060870000001</v>
      </c>
      <c r="N323" s="2">
        <v>80.79943849</v>
      </c>
      <c r="O323" s="2">
        <f>IFERROR(ROUND(N323,0),"null")</f>
        <v>81</v>
      </c>
      <c r="P323" s="2" t="str">
        <f>IF(AND(A323=A324,O323=100,O324=100),"full access"," ")</f>
        <v xml:space="preserve"> </v>
      </c>
      <c r="Q323" s="2" t="str">
        <f>IFERROR(IF(A324=A323,((N323-N324)/(C323-C324)),""),"null")</f>
        <v/>
      </c>
      <c r="R323" s="2">
        <v>1.5969437710000001</v>
      </c>
      <c r="S323" s="2">
        <v>9.6126911629999992</v>
      </c>
      <c r="T323" s="2">
        <v>7.9909265779999998</v>
      </c>
      <c r="U323" s="2">
        <v>96.559844080000005</v>
      </c>
      <c r="V323" s="2">
        <f>IFERROR(ROUND(U323,0),"null")</f>
        <v>97</v>
      </c>
      <c r="W323" s="2" t="str">
        <f>IF(AND(A323=A324,V323=100,V324=100),"full access","")</f>
        <v/>
      </c>
      <c r="X323" s="2" t="str">
        <f>IFERROR(IF(A324=A323,((U323-U324)/(C323-C324)),""),"null")</f>
        <v/>
      </c>
      <c r="Y323" s="2">
        <v>0.64239323559999995</v>
      </c>
      <c r="Z323" s="2">
        <v>2.6364086929999999</v>
      </c>
      <c r="AA323" s="2">
        <v>0.1613539953</v>
      </c>
      <c r="AB323" s="2" t="str">
        <f>IFERROR(IF(A324=A323, Q323-X323, ""), "null")</f>
        <v/>
      </c>
    </row>
    <row r="324" spans="1:28">
      <c r="A324" s="2" t="s">
        <v>213</v>
      </c>
      <c r="B324" s="2" t="str">
        <f>VLOOKUP(A324,Regions!A:B,2,0)</f>
        <v>South Asia</v>
      </c>
      <c r="C324" s="2">
        <v>2015</v>
      </c>
      <c r="D324" s="2">
        <f>IF(A325=A324,ABS(C325-C324),"")</f>
        <v>5</v>
      </c>
      <c r="E324" s="2">
        <f>IFERROR(IF(A325=A324,((H324-H325)/(C324-C325)), ""), "null")</f>
        <v>0.41826670799999877</v>
      </c>
      <c r="F324" s="2">
        <v>102113.2031</v>
      </c>
      <c r="G324" s="2">
        <v>46.284000399999996</v>
      </c>
      <c r="H324" s="2">
        <v>92.017701020000004</v>
      </c>
      <c r="I324" s="2">
        <f>IFERROR(ROUND(H324,0),"null")</f>
        <v>92</v>
      </c>
      <c r="J324" s="2" t="str">
        <f>IF(AND(A325=A324,I324=100,I325=100),"full access", " ")</f>
        <v xml:space="preserve"> </v>
      </c>
      <c r="K324" s="2">
        <v>2.9204293190000001</v>
      </c>
      <c r="L324" s="2">
        <v>4.5321384619999998</v>
      </c>
      <c r="M324" s="2">
        <v>0.52973119440000005</v>
      </c>
      <c r="N324" s="2">
        <v>88.208162329999993</v>
      </c>
      <c r="O324" s="2">
        <f>IFERROR(ROUND(N324,0),"null")</f>
        <v>88</v>
      </c>
      <c r="P324" s="2" t="str">
        <f>IF(AND(A324=A325,O324=100,O325=100),"full access"," ")</f>
        <v xml:space="preserve"> </v>
      </c>
      <c r="Q324" s="2">
        <f>IFERROR(IF(A325=A324,((N324-N325)/(C324-C325)),""),"null")</f>
        <v>0.57075417800000139</v>
      </c>
      <c r="R324" s="2">
        <v>3.8258925420000001</v>
      </c>
      <c r="S324" s="2">
        <v>7.1112130369999997</v>
      </c>
      <c r="T324" s="2">
        <v>0.85473209370000003</v>
      </c>
      <c r="U324" s="2">
        <v>96.438952139999998</v>
      </c>
      <c r="V324" s="2">
        <f>IFERROR(ROUND(U324,0),"null")</f>
        <v>96</v>
      </c>
      <c r="W324" s="2" t="str">
        <f>IF(AND(A324=A325,V324=100,V325=100),"full access","")</f>
        <v/>
      </c>
      <c r="X324" s="2">
        <f>IFERROR(IF(A325=A324,((U324-U325)/(C324-C325)),""),"null")</f>
        <v>0.21007607200000109</v>
      </c>
      <c r="Y324" s="2">
        <v>1.8695723529999999</v>
      </c>
      <c r="Z324" s="2">
        <v>1.5389318729999999</v>
      </c>
      <c r="AA324" s="2">
        <v>0.15254363930000001</v>
      </c>
      <c r="AB324" s="2">
        <f>IFERROR(IF(A325=A324, Q324-X324, ""), "null")</f>
        <v>0.36067810600000028</v>
      </c>
    </row>
    <row r="325" spans="1:28">
      <c r="A325" s="2" t="s">
        <v>213</v>
      </c>
      <c r="B325" s="2" t="str">
        <f>VLOOKUP(A325,Regions!A:B,2,0)</f>
        <v>South Asia</v>
      </c>
      <c r="C325" s="2">
        <v>2020</v>
      </c>
      <c r="D325" s="2" t="str">
        <f>IF(A326=A325,ABS(C326-C325),"")</f>
        <v/>
      </c>
      <c r="E325" s="2" t="str">
        <f>IFERROR(IF(A326=A325,((H325-H326)/(C325-C326)), ""), "null")</f>
        <v/>
      </c>
      <c r="F325" s="2">
        <v>109581.08590000001</v>
      </c>
      <c r="G325" s="2">
        <v>47.407997129999998</v>
      </c>
      <c r="H325" s="2">
        <v>94.109034559999998</v>
      </c>
      <c r="I325" s="2">
        <f>IFERROR(ROUND(H325,0),"null")</f>
        <v>94</v>
      </c>
      <c r="J325" s="2" t="str">
        <f>IF(AND(A326=A325,I325=100,I326=100),"full access", " ")</f>
        <v xml:space="preserve"> </v>
      </c>
      <c r="K325" s="2">
        <v>2.8564861370000001</v>
      </c>
      <c r="L325" s="2">
        <v>3.0344793069999998</v>
      </c>
      <c r="M325" s="2">
        <v>0</v>
      </c>
      <c r="N325" s="2">
        <v>91.06193322</v>
      </c>
      <c r="O325" s="2">
        <f>IFERROR(ROUND(N325,0),"null")</f>
        <v>91</v>
      </c>
      <c r="P325" s="2" t="str">
        <f>IF(AND(A325=A326,O325=100,O326=100),"full access"," ")</f>
        <v xml:space="preserve"> </v>
      </c>
      <c r="Q325" s="2" t="str">
        <f>IFERROR(IF(A326=A325,((N325-N326)/(C325-C326)),""),"null")</f>
        <v/>
      </c>
      <c r="R325" s="2">
        <v>3.9595204279999998</v>
      </c>
      <c r="S325" s="2">
        <v>4.978546347</v>
      </c>
      <c r="T325" s="2">
        <v>0</v>
      </c>
      <c r="U325" s="2">
        <v>97.489332500000003</v>
      </c>
      <c r="V325" s="2">
        <f>IFERROR(ROUND(U325,0),"null")</f>
        <v>97</v>
      </c>
      <c r="W325" s="2" t="str">
        <f>IF(AND(A325=A326,V325=100,V326=100),"full access","")</f>
        <v/>
      </c>
      <c r="X325" s="2" t="str">
        <f>IFERROR(IF(A326=A325,((U325-U326)/(C325-C326)),""),"null")</f>
        <v/>
      </c>
      <c r="Y325" s="2">
        <v>1.632836465</v>
      </c>
      <c r="Z325" s="2">
        <v>0.87783103600000001</v>
      </c>
      <c r="AA325" s="2">
        <v>0</v>
      </c>
      <c r="AB325" s="2" t="str">
        <f>IFERROR(IF(A326=A325, Q325-X325, ""), "null")</f>
        <v/>
      </c>
    </row>
    <row r="326" spans="1:28">
      <c r="A326" s="2" t="s">
        <v>214</v>
      </c>
      <c r="B326" s="2" t="str">
        <f>VLOOKUP(A326,Regions!A:B,2,0)</f>
        <v>Europe &amp; Central Asia</v>
      </c>
      <c r="C326" s="2">
        <v>2015</v>
      </c>
      <c r="D326" s="2">
        <f>IF(A327=A326,ABS(C327-C326),"")</f>
        <v>5</v>
      </c>
      <c r="E326" s="2">
        <f>IFERROR(IF(A327=A326,((H326-H327)/(C326-C327)), ""), "null")</f>
        <v>0.1469043340000013</v>
      </c>
      <c r="F326" s="2">
        <v>38034.074220000002</v>
      </c>
      <c r="G326" s="2">
        <v>60.27799606</v>
      </c>
      <c r="H326" s="2">
        <v>99.232069879999997</v>
      </c>
      <c r="I326" s="2">
        <f>IFERROR(ROUND(H326,0),"null")</f>
        <v>99</v>
      </c>
      <c r="J326" s="2" t="str">
        <f>IF(AND(A327=A326,I326=100,I327=100),"full access", " ")</f>
        <v xml:space="preserve"> </v>
      </c>
      <c r="K326" s="2">
        <v>0</v>
      </c>
      <c r="L326" s="2">
        <v>0.76793012459999999</v>
      </c>
      <c r="M326" s="2">
        <v>0</v>
      </c>
      <c r="N326" s="2">
        <v>98.537903229999998</v>
      </c>
      <c r="O326" s="2">
        <f>IFERROR(ROUND(N326,0),"null")</f>
        <v>99</v>
      </c>
      <c r="P326" s="2" t="str">
        <f>IF(AND(A326=A327,O326=100,O327=100),"full access"," ")</f>
        <v xml:space="preserve"> </v>
      </c>
      <c r="Q326" s="2">
        <f>IFERROR(IF(A327=A326,((N326-N327)/(C326-C327)),""),"null")</f>
        <v>0.29241935400000046</v>
      </c>
      <c r="R326" s="2">
        <v>0</v>
      </c>
      <c r="S326" s="2">
        <v>1.4620967739999999</v>
      </c>
      <c r="T326" s="2">
        <v>0</v>
      </c>
      <c r="U326" s="2">
        <v>99.689516130000001</v>
      </c>
      <c r="V326" s="2">
        <f>IFERROR(ROUND(U326,0),"null")</f>
        <v>100</v>
      </c>
      <c r="W326" s="2" t="str">
        <f>IF(AND(A326=A327,V326=100,V327=100),"full access","")</f>
        <v>full access</v>
      </c>
      <c r="X326" s="2">
        <f>IFERROR(IF(A327=A326,((U326-U327)/(C326-C327)),""),"null")</f>
        <v>5.0967742000000274E-2</v>
      </c>
      <c r="Y326" s="2">
        <v>0</v>
      </c>
      <c r="Z326" s="2">
        <v>0.31048387100000002</v>
      </c>
      <c r="AA326" s="2">
        <v>0</v>
      </c>
      <c r="AB326" s="2">
        <f>IFERROR(IF(A327=A326, Q326-X326, ""), "null")</f>
        <v>0.2414516120000002</v>
      </c>
    </row>
    <row r="327" spans="1:28">
      <c r="A327" s="2" t="s">
        <v>214</v>
      </c>
      <c r="B327" s="2" t="str">
        <f>VLOOKUP(A327,Regions!A:B,2,0)</f>
        <v>Europe &amp; Central Asia</v>
      </c>
      <c r="C327" s="2">
        <v>2020</v>
      </c>
      <c r="D327" s="2" t="str">
        <f>IF(A328=A327,ABS(C328-C327),"")</f>
        <v/>
      </c>
      <c r="E327" s="2" t="str">
        <f>IFERROR(IF(A328=A327,((H327-H328)/(C327-C328)), ""), "null")</f>
        <v/>
      </c>
      <c r="F327" s="2">
        <v>37846.605470000002</v>
      </c>
      <c r="G327" s="2">
        <v>60.043003079999998</v>
      </c>
      <c r="H327" s="2">
        <v>99.966591550000004</v>
      </c>
      <c r="I327" s="2">
        <f>IFERROR(ROUND(H327,0),"null")</f>
        <v>100</v>
      </c>
      <c r="J327" s="2" t="str">
        <f>IF(AND(A328=A327,I327=100,I328=100),"full access", " ")</f>
        <v xml:space="preserve"> </v>
      </c>
      <c r="K327" s="2">
        <v>0</v>
      </c>
      <c r="L327" s="2">
        <v>3.3408445289999998E-2</v>
      </c>
      <c r="M327" s="2">
        <v>0</v>
      </c>
      <c r="N327" s="2">
        <v>100</v>
      </c>
      <c r="O327" s="2">
        <f>IFERROR(ROUND(N327,0),"null")</f>
        <v>100</v>
      </c>
      <c r="P327" s="2" t="str">
        <f>IF(AND(A327=A328,O327=100,O328=100),"full access"," ")</f>
        <v xml:space="preserve"> </v>
      </c>
      <c r="Q327" s="2" t="str">
        <f>IFERROR(IF(A328=A327,((N327-N328)/(C327-C328)),""),"null")</f>
        <v/>
      </c>
      <c r="R327" s="2">
        <v>0</v>
      </c>
      <c r="S327" s="2">
        <v>0</v>
      </c>
      <c r="T327" s="2">
        <v>0</v>
      </c>
      <c r="U327" s="2">
        <v>99.944354840000003</v>
      </c>
      <c r="V327" s="2">
        <f>IFERROR(ROUND(U327,0),"null")</f>
        <v>100</v>
      </c>
      <c r="W327" s="2" t="str">
        <f>IF(AND(A327=A328,V327=100,V328=100),"full access","")</f>
        <v/>
      </c>
      <c r="X327" s="2" t="str">
        <f>IFERROR(IF(A328=A327,((U327-U328)/(C327-C328)),""),"null")</f>
        <v/>
      </c>
      <c r="Y327" s="2">
        <v>0</v>
      </c>
      <c r="Z327" s="2">
        <v>5.5645161290000002E-2</v>
      </c>
      <c r="AA327" s="2">
        <v>0</v>
      </c>
      <c r="AB327" s="2" t="str">
        <f>IFERROR(IF(A328=A327, Q327-X327, ""), "null")</f>
        <v/>
      </c>
    </row>
    <row r="328" spans="1:28">
      <c r="A328" s="2" t="s">
        <v>215</v>
      </c>
      <c r="B328" s="2" t="str">
        <f>VLOOKUP(A328,Regions!A:B,2,0)</f>
        <v>Europe &amp; Central Asia</v>
      </c>
      <c r="C328" s="2">
        <v>2015</v>
      </c>
      <c r="D328" s="2">
        <f>IF(A329=A328,ABS(C329-C328),"")</f>
        <v>5</v>
      </c>
      <c r="E328" s="2">
        <f>IFERROR(IF(A329=A328,((H328-H329)/(C328-C329)), ""), "null")</f>
        <v>1.4607659999995803E-3</v>
      </c>
      <c r="F328" s="2">
        <v>10368.3457</v>
      </c>
      <c r="G328" s="2">
        <v>63.513999939999998</v>
      </c>
      <c r="H328" s="2">
        <v>99.904689840000003</v>
      </c>
      <c r="I328" s="2">
        <f>IFERROR(ROUND(H328,0),"null")</f>
        <v>100</v>
      </c>
      <c r="J328" s="2" t="str">
        <f>IF(AND(A329=A328,I328=100,I329=100),"full access", " ")</f>
        <v>full access</v>
      </c>
      <c r="K328" s="2">
        <v>0</v>
      </c>
      <c r="L328" s="2">
        <v>9.5310157000000006E-2</v>
      </c>
      <c r="M328" s="2">
        <v>0</v>
      </c>
      <c r="N328" s="2">
        <v>99.738776090000002</v>
      </c>
      <c r="O328" s="2">
        <f>IFERROR(ROUND(N328,0),"null")</f>
        <v>100</v>
      </c>
      <c r="P328" s="2" t="str">
        <f>IF(AND(A328=A329,O328=100,O329=100),"full access"," ")</f>
        <v>full access</v>
      </c>
      <c r="Q328" s="2">
        <f>IFERROR(IF(A329=A328,((N328-N329)/(C328-C329)),""),"null")</f>
        <v>0</v>
      </c>
      <c r="R328" s="2">
        <v>0</v>
      </c>
      <c r="S328" s="2">
        <v>0.26122391220000002</v>
      </c>
      <c r="T328" s="2">
        <v>0</v>
      </c>
      <c r="U328" s="2">
        <v>100</v>
      </c>
      <c r="V328" s="2">
        <f>IFERROR(ROUND(U328,0),"null")</f>
        <v>100</v>
      </c>
      <c r="W328" s="2" t="str">
        <f>IF(AND(A328=A329,V328=100,V329=100),"full access","")</f>
        <v>full access</v>
      </c>
      <c r="X328" s="2">
        <f>IFERROR(IF(A329=A328,((U328-U329)/(C328-C329)),""),"null")</f>
        <v>0</v>
      </c>
      <c r="Y328" s="2">
        <v>0</v>
      </c>
      <c r="Z328" s="2">
        <v>0</v>
      </c>
      <c r="AA328" s="2">
        <v>0</v>
      </c>
      <c r="AB328" s="2">
        <f>IFERROR(IF(A329=A328, Q328-X328, ""), "null")</f>
        <v>0</v>
      </c>
    </row>
    <row r="329" spans="1:28">
      <c r="A329" s="2" t="s">
        <v>215</v>
      </c>
      <c r="B329" s="2" t="str">
        <f>VLOOKUP(A329,Regions!A:B,2,0)</f>
        <v>Europe &amp; Central Asia</v>
      </c>
      <c r="C329" s="2">
        <v>2020</v>
      </c>
      <c r="D329" s="2" t="str">
        <f>IF(A330=A329,ABS(C330-C329),"")</f>
        <v/>
      </c>
      <c r="E329" s="2" t="str">
        <f>IFERROR(IF(A330=A329,((H329-H330)/(C329-C330)), ""), "null")</f>
        <v/>
      </c>
      <c r="F329" s="2">
        <v>10196.70703</v>
      </c>
      <c r="G329" s="2">
        <v>66.309997559999999</v>
      </c>
      <c r="H329" s="2">
        <v>99.911993670000001</v>
      </c>
      <c r="I329" s="2">
        <f>IFERROR(ROUND(H329,0),"null")</f>
        <v>100</v>
      </c>
      <c r="J329" s="2" t="str">
        <f>IF(AND(A330=A329,I329=100,I330=100),"full access", " ")</f>
        <v xml:space="preserve"> </v>
      </c>
      <c r="K329" s="2">
        <v>0</v>
      </c>
      <c r="L329" s="2">
        <v>8.8006333689999994E-2</v>
      </c>
      <c r="M329" s="2">
        <v>0</v>
      </c>
      <c r="N329" s="2">
        <v>99.738776090000002</v>
      </c>
      <c r="O329" s="2">
        <f>IFERROR(ROUND(N329,0),"null")</f>
        <v>100</v>
      </c>
      <c r="P329" s="2" t="str">
        <f>IF(AND(A329=A330,O329=100,O330=100),"full access"," ")</f>
        <v xml:space="preserve"> </v>
      </c>
      <c r="Q329" s="2" t="str">
        <f>IFERROR(IF(A330=A329,((N329-N330)/(C329-C330)),""),"null")</f>
        <v/>
      </c>
      <c r="R329" s="2">
        <v>0</v>
      </c>
      <c r="S329" s="2">
        <v>0.26122391220000002</v>
      </c>
      <c r="T329" s="2">
        <v>0</v>
      </c>
      <c r="U329" s="2">
        <v>100</v>
      </c>
      <c r="V329" s="2">
        <f>IFERROR(ROUND(U329,0),"null")</f>
        <v>100</v>
      </c>
      <c r="W329" s="2" t="str">
        <f>IF(AND(A329=A330,V329=100,V330=100),"full access","")</f>
        <v/>
      </c>
      <c r="X329" s="2" t="str">
        <f>IFERROR(IF(A330=A329,((U329-U330)/(C329-C330)),""),"null")</f>
        <v/>
      </c>
      <c r="Y329" s="2">
        <v>0</v>
      </c>
      <c r="Z329" s="2">
        <v>0</v>
      </c>
      <c r="AA329" s="2">
        <v>0</v>
      </c>
      <c r="AB329" s="2" t="str">
        <f>IFERROR(IF(A330=A329, Q329-X329, ""), "null")</f>
        <v/>
      </c>
    </row>
    <row r="330" spans="1:28">
      <c r="A330" s="2" t="s">
        <v>216</v>
      </c>
      <c r="B330" s="2" t="str">
        <f>VLOOKUP(A330,Regions!A:B,2,0)</f>
        <v>Latin America &amp; Caribbean</v>
      </c>
      <c r="C330" s="2">
        <v>2015</v>
      </c>
      <c r="D330" s="2">
        <f>IF(A331=A330,ABS(C331-C330),"")</f>
        <v>5</v>
      </c>
      <c r="E330" s="2">
        <f>IFERROR(IF(A331=A330,((H330-H331)/(C330-C331)), ""), "null")</f>
        <v>0.11491004799999871</v>
      </c>
      <c r="F330" s="2">
        <v>3381.5119629999999</v>
      </c>
      <c r="G330" s="2">
        <v>93.624000550000005</v>
      </c>
      <c r="H330" s="2">
        <v>99.425449760000006</v>
      </c>
      <c r="I330" s="2">
        <f>IFERROR(ROUND(H330,0),"null")</f>
        <v>99</v>
      </c>
      <c r="J330" s="2" t="str">
        <f>IF(AND(A331=A330,I330=100,I331=100),"full access", " ")</f>
        <v xml:space="preserve"> </v>
      </c>
      <c r="K330" s="2">
        <v>0</v>
      </c>
      <c r="L330" s="2">
        <v>0.57455024300000002</v>
      </c>
      <c r="M330" s="2">
        <v>0</v>
      </c>
      <c r="N330" s="2" t="s">
        <v>45</v>
      </c>
      <c r="O330" s="2" t="str">
        <f>IFERROR(ROUND(N330,0),"null")</f>
        <v>null</v>
      </c>
      <c r="P330" s="2" t="str">
        <f>IF(AND(A330=A331,O330=100,O331=100),"full access"," ")</f>
        <v xml:space="preserve"> </v>
      </c>
      <c r="Q330" s="2" t="str">
        <f>IFERROR(IF(A331=A330,((N330-N331)/(C330-C331)),""),"null")</f>
        <v>null</v>
      </c>
      <c r="R330" s="2" t="s">
        <v>45</v>
      </c>
      <c r="S330" s="2" t="s">
        <v>45</v>
      </c>
      <c r="T330" s="2" t="s">
        <v>45</v>
      </c>
      <c r="U330" s="2" t="s">
        <v>45</v>
      </c>
      <c r="V330" s="2" t="str">
        <f>IFERROR(ROUND(U330,0),"null")</f>
        <v>null</v>
      </c>
      <c r="W330" s="2" t="str">
        <f>IF(AND(A330=A331,V330=100,V331=100),"full access","")</f>
        <v/>
      </c>
      <c r="X330" s="2" t="str">
        <f>IFERROR(IF(A331=A330,((U330-U331)/(C330-C331)),""),"null")</f>
        <v>null</v>
      </c>
      <c r="Y330" s="2" t="s">
        <v>45</v>
      </c>
      <c r="Z330" s="2" t="s">
        <v>45</v>
      </c>
      <c r="AA330" s="2" t="s">
        <v>45</v>
      </c>
      <c r="AB330" s="2" t="str">
        <f>IFERROR(IF(A331=A330, Q330-X330, ""), "null")</f>
        <v>null</v>
      </c>
    </row>
    <row r="331" spans="1:28">
      <c r="A331" s="2" t="s">
        <v>216</v>
      </c>
      <c r="B331" s="2" t="str">
        <f>VLOOKUP(A331,Regions!A:B,2,0)</f>
        <v>Latin America &amp; Caribbean</v>
      </c>
      <c r="C331" s="2">
        <v>2020</v>
      </c>
      <c r="D331" s="2" t="str">
        <f>IF(A332=A331,ABS(C332-C331),"")</f>
        <v/>
      </c>
      <c r="E331" s="2" t="str">
        <f>IFERROR(IF(A332=A331,((H331-H332)/(C331-C332)), ""), "null")</f>
        <v/>
      </c>
      <c r="F331" s="2">
        <v>2860.8400879999999</v>
      </c>
      <c r="G331" s="2">
        <v>93.581001279999995</v>
      </c>
      <c r="H331" s="2">
        <v>100</v>
      </c>
      <c r="I331" s="2">
        <f>IFERROR(ROUND(H331,0),"null")</f>
        <v>100</v>
      </c>
      <c r="J331" s="2" t="str">
        <f>IF(AND(A332=A331,I331=100,I332=100),"full access", " ")</f>
        <v xml:space="preserve"> </v>
      </c>
      <c r="K331" s="2">
        <v>0</v>
      </c>
      <c r="L331" s="2">
        <v>0</v>
      </c>
      <c r="M331" s="2">
        <v>0</v>
      </c>
      <c r="N331" s="2" t="s">
        <v>45</v>
      </c>
      <c r="O331" s="2" t="str">
        <f>IFERROR(ROUND(N331,0),"null")</f>
        <v>null</v>
      </c>
      <c r="P331" s="2" t="str">
        <f>IF(AND(A331=A332,O331=100,O332=100),"full access"," ")</f>
        <v xml:space="preserve"> </v>
      </c>
      <c r="Q331" s="2" t="str">
        <f>IFERROR(IF(A332=A331,((N331-N332)/(C331-C332)),""),"null")</f>
        <v/>
      </c>
      <c r="R331" s="2" t="s">
        <v>45</v>
      </c>
      <c r="S331" s="2" t="s">
        <v>45</v>
      </c>
      <c r="T331" s="2" t="s">
        <v>45</v>
      </c>
      <c r="U331" s="2" t="s">
        <v>45</v>
      </c>
      <c r="V331" s="2" t="str">
        <f>IFERROR(ROUND(U331,0),"null")</f>
        <v>null</v>
      </c>
      <c r="W331" s="2" t="str">
        <f>IF(AND(A331=A332,V331=100,V332=100),"full access","")</f>
        <v/>
      </c>
      <c r="X331" s="2" t="str">
        <f>IFERROR(IF(A332=A331,((U331-U332)/(C331-C332)),""),"null")</f>
        <v/>
      </c>
      <c r="Y331" s="2" t="s">
        <v>45</v>
      </c>
      <c r="Z331" s="2" t="s">
        <v>45</v>
      </c>
      <c r="AA331" s="2" t="s">
        <v>45</v>
      </c>
      <c r="AB331" s="2" t="str">
        <f>IFERROR(IF(A332=A331, Q331-X331, ""), "null")</f>
        <v/>
      </c>
    </row>
    <row r="332" spans="1:28">
      <c r="A332" s="2" t="s">
        <v>217</v>
      </c>
      <c r="B332" s="2" t="str">
        <f>VLOOKUP(A332,Regions!A:B,2,0)</f>
        <v>Europe &amp; Central Asia</v>
      </c>
      <c r="C332" s="2">
        <v>2015</v>
      </c>
      <c r="D332" s="2">
        <f>IF(A333=A332,ABS(C333-C332),"")</f>
        <v>5</v>
      </c>
      <c r="E332" s="2">
        <f>IFERROR(IF(A333=A332,((H332-H333)/(C332-C333)), ""), "null")</f>
        <v>-2.4679888000000004E-2</v>
      </c>
      <c r="F332" s="2">
        <v>2565.7080080000001</v>
      </c>
      <c r="G332" s="2">
        <v>98.944992069999998</v>
      </c>
      <c r="H332" s="2">
        <v>99.691501380000005</v>
      </c>
      <c r="I332" s="2">
        <f>IFERROR(ROUND(H332,0),"null")</f>
        <v>100</v>
      </c>
      <c r="J332" s="2" t="str">
        <f>IF(AND(A333=A332,I332=100,I333=100),"full access", " ")</f>
        <v>full access</v>
      </c>
      <c r="K332" s="2">
        <v>0</v>
      </c>
      <c r="L332" s="2">
        <v>0.30849861699999997</v>
      </c>
      <c r="M332" s="2">
        <v>0</v>
      </c>
      <c r="N332" s="2" t="s">
        <v>45</v>
      </c>
      <c r="O332" s="2" t="str">
        <f>IFERROR(ROUND(N332,0),"null")</f>
        <v>null</v>
      </c>
      <c r="P332" s="2" t="str">
        <f>IF(AND(A332=A333,O332=100,O333=100),"full access"," ")</f>
        <v xml:space="preserve"> </v>
      </c>
      <c r="Q332" s="2" t="str">
        <f>IFERROR(IF(A333=A332,((N332-N333)/(C332-C333)),""),"null")</f>
        <v>null</v>
      </c>
      <c r="R332" s="2" t="s">
        <v>45</v>
      </c>
      <c r="S332" s="2" t="s">
        <v>45</v>
      </c>
      <c r="T332" s="2" t="s">
        <v>45</v>
      </c>
      <c r="U332" s="2" t="s">
        <v>45</v>
      </c>
      <c r="V332" s="2" t="str">
        <f>IFERROR(ROUND(U332,0),"null")</f>
        <v>null</v>
      </c>
      <c r="W332" s="2" t="str">
        <f>IF(AND(A332=A333,V332=100,V333=100),"full access","")</f>
        <v/>
      </c>
      <c r="X332" s="2" t="str">
        <f>IFERROR(IF(A333=A332,((U332-U333)/(C332-C333)),""),"null")</f>
        <v>null</v>
      </c>
      <c r="Y332" s="2" t="s">
        <v>45</v>
      </c>
      <c r="Z332" s="2" t="s">
        <v>45</v>
      </c>
      <c r="AA332" s="2" t="s">
        <v>45</v>
      </c>
      <c r="AB332" s="2" t="str">
        <f>IFERROR(IF(A333=A332, Q332-X332, ""), "null")</f>
        <v>null</v>
      </c>
    </row>
    <row r="333" spans="1:28">
      <c r="A333" s="2" t="s">
        <v>217</v>
      </c>
      <c r="B333" s="2" t="str">
        <f>VLOOKUP(A333,Regions!A:B,2,0)</f>
        <v>Europe &amp; Central Asia</v>
      </c>
      <c r="C333" s="2">
        <v>2020</v>
      </c>
      <c r="D333" s="2" t="str">
        <f>IF(A334=A333,ABS(C334-C333),"")</f>
        <v/>
      </c>
      <c r="E333" s="2" t="str">
        <f>IFERROR(IF(A334=A333,((H333-H334)/(C333-C334)), ""), "null")</f>
        <v/>
      </c>
      <c r="F333" s="2">
        <v>2881.0600589999999</v>
      </c>
      <c r="G333" s="2">
        <v>99.23500061</v>
      </c>
      <c r="H333" s="2">
        <v>99.568101940000005</v>
      </c>
      <c r="I333" s="2">
        <f>IFERROR(ROUND(H333,0),"null")</f>
        <v>100</v>
      </c>
      <c r="J333" s="2" t="str">
        <f>IF(AND(A334=A333,I333=100,I334=100),"full access", " ")</f>
        <v xml:space="preserve"> </v>
      </c>
      <c r="K333" s="2">
        <v>0</v>
      </c>
      <c r="L333" s="2">
        <v>0.4318980637</v>
      </c>
      <c r="M333" s="2">
        <v>0</v>
      </c>
      <c r="N333" s="2" t="s">
        <v>45</v>
      </c>
      <c r="O333" s="2" t="str">
        <f>IFERROR(ROUND(N333,0),"null")</f>
        <v>null</v>
      </c>
      <c r="P333" s="2" t="str">
        <f>IF(AND(A333=A334,O333=100,O334=100),"full access"," ")</f>
        <v xml:space="preserve"> </v>
      </c>
      <c r="Q333" s="2" t="str">
        <f>IFERROR(IF(A334=A333,((N333-N334)/(C333-C334)),""),"null")</f>
        <v/>
      </c>
      <c r="R333" s="2" t="s">
        <v>45</v>
      </c>
      <c r="S333" s="2" t="s">
        <v>45</v>
      </c>
      <c r="T333" s="2" t="s">
        <v>45</v>
      </c>
      <c r="U333" s="2" t="s">
        <v>45</v>
      </c>
      <c r="V333" s="2" t="str">
        <f>IFERROR(ROUND(U333,0),"null")</f>
        <v>null</v>
      </c>
      <c r="W333" s="2" t="str">
        <f>IF(AND(A333=A334,V333=100,V334=100),"full access","")</f>
        <v/>
      </c>
      <c r="X333" s="2" t="str">
        <f>IFERROR(IF(A334=A333,((U333-U334)/(C333-C334)),""),"null")</f>
        <v/>
      </c>
      <c r="Y333" s="2" t="s">
        <v>45</v>
      </c>
      <c r="Z333" s="2" t="s">
        <v>45</v>
      </c>
      <c r="AA333" s="2" t="s">
        <v>45</v>
      </c>
      <c r="AB333" s="2" t="str">
        <f>IFERROR(IF(A334=A333, Q333-X333, ""), "null")</f>
        <v/>
      </c>
    </row>
    <row r="334" spans="1:28">
      <c r="A334" s="2" t="s">
        <v>218</v>
      </c>
      <c r="B334" s="2" t="str">
        <f>VLOOKUP(A334,Regions!A:B,2,0)</f>
        <v>East Asia &amp; Pacific</v>
      </c>
      <c r="C334" s="2">
        <v>2015</v>
      </c>
      <c r="D334" s="2">
        <f>IF(A335=A334,ABS(C335-C334),"")</f>
        <v>5</v>
      </c>
      <c r="E334" s="2">
        <f>IFERROR(IF(A335=A334,((H334-H335)/(C334-C335)), ""), "null")</f>
        <v>9.1730047999999439E-2</v>
      </c>
      <c r="F334" s="2">
        <v>50823.085939999997</v>
      </c>
      <c r="G334" s="2">
        <v>81.634002690000003</v>
      </c>
      <c r="H334" s="2">
        <v>99.472746409999999</v>
      </c>
      <c r="I334" s="2">
        <f>IFERROR(ROUND(H334,0),"null")</f>
        <v>99</v>
      </c>
      <c r="J334" s="2" t="str">
        <f>IF(AND(A335=A334,I334=100,I335=100),"full access", " ")</f>
        <v xml:space="preserve"> </v>
      </c>
      <c r="K334" s="2">
        <v>0</v>
      </c>
      <c r="L334" s="2">
        <v>0.5272535907</v>
      </c>
      <c r="M334" s="2">
        <v>0</v>
      </c>
      <c r="N334" s="2" t="s">
        <v>45</v>
      </c>
      <c r="O334" s="2" t="str">
        <f>IFERROR(ROUND(N334,0),"null")</f>
        <v>null</v>
      </c>
      <c r="P334" s="2" t="str">
        <f>IF(AND(A334=A335,O334=100,O335=100),"full access"," ")</f>
        <v xml:space="preserve"> </v>
      </c>
      <c r="Q334" s="2" t="str">
        <f>IFERROR(IF(A335=A334,((N334-N335)/(C334-C335)),""),"null")</f>
        <v>null</v>
      </c>
      <c r="R334" s="2" t="s">
        <v>45</v>
      </c>
      <c r="S334" s="2" t="s">
        <v>45</v>
      </c>
      <c r="T334" s="2" t="s">
        <v>45</v>
      </c>
      <c r="U334" s="2" t="s">
        <v>45</v>
      </c>
      <c r="V334" s="2" t="str">
        <f>IFERROR(ROUND(U334,0),"null")</f>
        <v>null</v>
      </c>
      <c r="W334" s="2" t="str">
        <f>IF(AND(A334=A335,V334=100,V335=100),"full access","")</f>
        <v/>
      </c>
      <c r="X334" s="2" t="str">
        <f>IFERROR(IF(A335=A334,((U334-U335)/(C334-C335)),""),"null")</f>
        <v>null</v>
      </c>
      <c r="Y334" s="2" t="s">
        <v>45</v>
      </c>
      <c r="Z334" s="2" t="s">
        <v>45</v>
      </c>
      <c r="AA334" s="2" t="s">
        <v>45</v>
      </c>
      <c r="AB334" s="2" t="str">
        <f>IFERROR(IF(A335=A334, Q334-X334, ""), "null")</f>
        <v>null</v>
      </c>
    </row>
    <row r="335" spans="1:28">
      <c r="A335" s="2" t="s">
        <v>218</v>
      </c>
      <c r="B335" s="2" t="str">
        <f>VLOOKUP(A335,Regions!A:B,2,0)</f>
        <v>East Asia &amp; Pacific</v>
      </c>
      <c r="C335" s="2">
        <v>2020</v>
      </c>
      <c r="D335" s="2" t="str">
        <f>IF(A336=A335,ABS(C336-C335),"")</f>
        <v/>
      </c>
      <c r="E335" s="2" t="str">
        <f>IFERROR(IF(A336=A335,((H335-H336)/(C335-C336)), ""), "null")</f>
        <v/>
      </c>
      <c r="F335" s="2">
        <v>51269.183590000001</v>
      </c>
      <c r="G335" s="2">
        <v>81.414001459999994</v>
      </c>
      <c r="H335" s="2">
        <v>99.931396649999996</v>
      </c>
      <c r="I335" s="2">
        <f>IFERROR(ROUND(H335,0),"null")</f>
        <v>100</v>
      </c>
      <c r="J335" s="2" t="str">
        <f>IF(AND(A336=A335,I335=100,I336=100),"full access", " ")</f>
        <v xml:space="preserve"> </v>
      </c>
      <c r="K335" s="2">
        <v>0</v>
      </c>
      <c r="L335" s="2">
        <v>6.8603352960000002E-2</v>
      </c>
      <c r="M335" s="2">
        <v>0</v>
      </c>
      <c r="N335" s="2" t="s">
        <v>45</v>
      </c>
      <c r="O335" s="2" t="str">
        <f>IFERROR(ROUND(N335,0),"null")</f>
        <v>null</v>
      </c>
      <c r="P335" s="2" t="str">
        <f>IF(AND(A335=A336,O335=100,O336=100),"full access"," ")</f>
        <v xml:space="preserve"> </v>
      </c>
      <c r="Q335" s="2" t="str">
        <f>IFERROR(IF(A336=A335,((N335-N336)/(C335-C336)),""),"null")</f>
        <v/>
      </c>
      <c r="R335" s="2" t="s">
        <v>45</v>
      </c>
      <c r="S335" s="2" t="s">
        <v>45</v>
      </c>
      <c r="T335" s="2" t="s">
        <v>45</v>
      </c>
      <c r="U335" s="2" t="s">
        <v>45</v>
      </c>
      <c r="V335" s="2" t="str">
        <f>IFERROR(ROUND(U335,0),"null")</f>
        <v>null</v>
      </c>
      <c r="W335" s="2" t="str">
        <f>IF(AND(A335=A336,V335=100,V336=100),"full access","")</f>
        <v/>
      </c>
      <c r="X335" s="2" t="str">
        <f>IFERROR(IF(A336=A335,((U335-U336)/(C335-C336)),""),"null")</f>
        <v/>
      </c>
      <c r="Y335" s="2" t="s">
        <v>45</v>
      </c>
      <c r="Z335" s="2" t="s">
        <v>45</v>
      </c>
      <c r="AA335" s="2" t="s">
        <v>45</v>
      </c>
      <c r="AB335" s="2" t="str">
        <f>IFERROR(IF(A336=A335, Q335-X335, ""), "null")</f>
        <v/>
      </c>
    </row>
    <row r="336" spans="1:28">
      <c r="A336" s="2" t="s">
        <v>219</v>
      </c>
      <c r="B336" s="2" t="str">
        <f>VLOOKUP(A336,Regions!A:B,2,0)</f>
        <v>Europe &amp; Central Asia</v>
      </c>
      <c r="C336" s="2">
        <v>2015</v>
      </c>
      <c r="D336" s="2">
        <f>IF(A337=A336,ABS(C337-C336),"")</f>
        <v>5</v>
      </c>
      <c r="E336" s="2">
        <f>IFERROR(IF(A337=A336,((H336-H337)/(C336-C337)), ""), "null")</f>
        <v>0.39878606799999827</v>
      </c>
      <c r="F336" s="2">
        <v>4070.705078</v>
      </c>
      <c r="G336" s="2">
        <v>42.489997860000003</v>
      </c>
      <c r="H336" s="2">
        <v>88.576031900000004</v>
      </c>
      <c r="I336" s="2">
        <f>IFERROR(ROUND(H336,0),"null")</f>
        <v>89</v>
      </c>
      <c r="J336" s="2" t="str">
        <f>IF(AND(A337=A336,I336=100,I337=100),"full access", " ")</f>
        <v xml:space="preserve"> </v>
      </c>
      <c r="K336" s="2">
        <v>1.485629517</v>
      </c>
      <c r="L336" s="2">
        <v>9.9383385820000001</v>
      </c>
      <c r="M336" s="2">
        <v>0</v>
      </c>
      <c r="N336" s="2">
        <v>82.542490749999999</v>
      </c>
      <c r="O336" s="2">
        <f>IFERROR(ROUND(N336,0),"null")</f>
        <v>83</v>
      </c>
      <c r="P336" s="2" t="str">
        <f>IF(AND(A336=A337,O336=100,O337=100),"full access"," ")</f>
        <v xml:space="preserve"> </v>
      </c>
      <c r="Q336" s="2">
        <f>IFERROR(IF(A337=A336,((N336-N337)/(C336-C337)),""),"null")</f>
        <v>0.58770947399999895</v>
      </c>
      <c r="R336" s="2">
        <v>1.4702224820000001</v>
      </c>
      <c r="S336" s="2">
        <v>15.987286770000001</v>
      </c>
      <c r="T336" s="2">
        <v>0</v>
      </c>
      <c r="U336" s="2">
        <v>96.742399399999996</v>
      </c>
      <c r="V336" s="2">
        <f>IFERROR(ROUND(U336,0),"null")</f>
        <v>97</v>
      </c>
      <c r="W336" s="2" t="str">
        <f>IF(AND(A336=A337,V336=100,V337=100),"full access","")</f>
        <v/>
      </c>
      <c r="X336" s="2">
        <f>IFERROR(IF(A337=A336,((U336-U337)/(C336-C337)),""),"null")</f>
        <v>0.12300901600000032</v>
      </c>
      <c r="Y336" s="2">
        <v>1.5064828610000001</v>
      </c>
      <c r="Z336" s="2">
        <v>1.7511177389999999</v>
      </c>
      <c r="AA336" s="2">
        <v>0</v>
      </c>
      <c r="AB336" s="2">
        <f>IFERROR(IF(A337=A336, Q336-X336, ""), "null")</f>
        <v>0.46470045799999865</v>
      </c>
    </row>
    <row r="337" spans="1:28">
      <c r="A337" s="2" t="s">
        <v>219</v>
      </c>
      <c r="B337" s="2" t="str">
        <f>VLOOKUP(A337,Regions!A:B,2,0)</f>
        <v>Europe &amp; Central Asia</v>
      </c>
      <c r="C337" s="2">
        <v>2020</v>
      </c>
      <c r="D337" s="2" t="str">
        <f>IF(A338=A337,ABS(C338-C337),"")</f>
        <v/>
      </c>
      <c r="E337" s="2" t="str">
        <f>IFERROR(IF(A338=A337,((H337-H338)/(C337-C338)), ""), "null")</f>
        <v/>
      </c>
      <c r="F337" s="2">
        <v>4033.9628910000001</v>
      </c>
      <c r="G337" s="2">
        <v>42.849002839999997</v>
      </c>
      <c r="H337" s="2">
        <v>90.569962239999995</v>
      </c>
      <c r="I337" s="2">
        <f>IFERROR(ROUND(H337,0),"null")</f>
        <v>91</v>
      </c>
      <c r="J337" s="2" t="str">
        <f>IF(AND(A338=A337,I337=100,I338=100),"full access", " ")</f>
        <v xml:space="preserve"> </v>
      </c>
      <c r="K337" s="2">
        <v>1.519776762</v>
      </c>
      <c r="L337" s="2">
        <v>7.910260997</v>
      </c>
      <c r="M337" s="2">
        <v>0</v>
      </c>
      <c r="N337" s="2">
        <v>85.481038119999994</v>
      </c>
      <c r="O337" s="2">
        <f>IFERROR(ROUND(N337,0),"null")</f>
        <v>85</v>
      </c>
      <c r="P337" s="2" t="str">
        <f>IF(AND(A337=A338,O337=100,O338=100),"full access"," ")</f>
        <v xml:space="preserve"> </v>
      </c>
      <c r="Q337" s="2" t="str">
        <f>IFERROR(IF(A338=A337,((N337-N338)/(C337-C338)),""),"null")</f>
        <v/>
      </c>
      <c r="R337" s="2">
        <v>1.52256302</v>
      </c>
      <c r="S337" s="2">
        <v>12.996398859999999</v>
      </c>
      <c r="T337" s="2">
        <v>0</v>
      </c>
      <c r="U337" s="2">
        <v>97.357444479999998</v>
      </c>
      <c r="V337" s="2">
        <f>IFERROR(ROUND(U337,0),"null")</f>
        <v>97</v>
      </c>
      <c r="W337" s="2" t="str">
        <f>IF(AND(A337=A338,V337=100,V338=100),"full access","")</f>
        <v/>
      </c>
      <c r="X337" s="2" t="str">
        <f>IFERROR(IF(A338=A337,((U337-U338)/(C337-C338)),""),"null")</f>
        <v/>
      </c>
      <c r="Y337" s="2">
        <v>1.516060408</v>
      </c>
      <c r="Z337" s="2">
        <v>1.1264951110000001</v>
      </c>
      <c r="AA337" s="2">
        <v>0</v>
      </c>
      <c r="AB337" s="2" t="str">
        <f>IFERROR(IF(A338=A337, Q337-X337, ""), "null")</f>
        <v/>
      </c>
    </row>
    <row r="338" spans="1:28">
      <c r="A338" s="2" t="s">
        <v>220</v>
      </c>
      <c r="B338" s="2" t="str">
        <f>VLOOKUP(A338,Regions!A:B,2,0)</f>
        <v>Sub-Saharan Africa</v>
      </c>
      <c r="C338" s="2">
        <v>2015</v>
      </c>
      <c r="D338" s="2">
        <f>IF(A339=A338,ABS(C339-C338),"")</f>
        <v>5</v>
      </c>
      <c r="E338" s="2">
        <f>IFERROR(IF(A339=A338,((H338-H339)/(C338-C339)), ""), "null")</f>
        <v>1.7693962000001305E-2</v>
      </c>
      <c r="F338" s="2">
        <v>863.35900879999997</v>
      </c>
      <c r="G338" s="2">
        <v>99.339004520000003</v>
      </c>
      <c r="H338" s="2">
        <v>99.911530189999993</v>
      </c>
      <c r="I338" s="2">
        <f>IFERROR(ROUND(H338,0),"null")</f>
        <v>100</v>
      </c>
      <c r="J338" s="2" t="str">
        <f>IF(AND(A339=A338,I338=100,I339=100),"full access", " ")</f>
        <v>full access</v>
      </c>
      <c r="K338" s="2">
        <v>0</v>
      </c>
      <c r="L338" s="2">
        <v>8.8469814100000002E-2</v>
      </c>
      <c r="M338" s="2">
        <v>0</v>
      </c>
      <c r="N338" s="2" t="s">
        <v>45</v>
      </c>
      <c r="O338" s="2" t="str">
        <f>IFERROR(ROUND(N338,0),"null")</f>
        <v>null</v>
      </c>
      <c r="P338" s="2" t="str">
        <f>IF(AND(A338=A339,O338=100,O339=100),"full access"," ")</f>
        <v xml:space="preserve"> </v>
      </c>
      <c r="Q338" s="2" t="str">
        <f>IFERROR(IF(A339=A338,((N338-N339)/(C338-C339)),""),"null")</f>
        <v>null</v>
      </c>
      <c r="R338" s="2" t="s">
        <v>45</v>
      </c>
      <c r="S338" s="2" t="s">
        <v>45</v>
      </c>
      <c r="T338" s="2" t="s">
        <v>45</v>
      </c>
      <c r="U338" s="2" t="s">
        <v>45</v>
      </c>
      <c r="V338" s="2" t="str">
        <f>IFERROR(ROUND(U338,0),"null")</f>
        <v>null</v>
      </c>
      <c r="W338" s="2" t="str">
        <f>IF(AND(A338=A339,V338=100,V339=100),"full access","")</f>
        <v/>
      </c>
      <c r="X338" s="2" t="str">
        <f>IFERROR(IF(A339=A338,((U338-U339)/(C338-C339)),""),"null")</f>
        <v>null</v>
      </c>
      <c r="Y338" s="2" t="s">
        <v>45</v>
      </c>
      <c r="Z338" s="2" t="s">
        <v>45</v>
      </c>
      <c r="AA338" s="2" t="s">
        <v>45</v>
      </c>
      <c r="AB338" s="2" t="str">
        <f>IFERROR(IF(A339=A338, Q338-X338, ""), "null")</f>
        <v>null</v>
      </c>
    </row>
    <row r="339" spans="1:28">
      <c r="A339" s="2" t="s">
        <v>220</v>
      </c>
      <c r="B339" s="2" t="str">
        <f>VLOOKUP(A339,Regions!A:B,2,0)</f>
        <v>Sub-Saharan Africa</v>
      </c>
      <c r="C339" s="2">
        <v>2020</v>
      </c>
      <c r="D339" s="2" t="str">
        <f>IF(A340=A339,ABS(C340-C339),"")</f>
        <v/>
      </c>
      <c r="E339" s="2" t="str">
        <f>IFERROR(IF(A340=A339,((H339-H340)/(C339-C340)), ""), "null")</f>
        <v/>
      </c>
      <c r="F339" s="2">
        <v>895.30798340000001</v>
      </c>
      <c r="G339" s="2">
        <v>99.659004210000006</v>
      </c>
      <c r="H339" s="2">
        <v>100</v>
      </c>
      <c r="I339" s="2">
        <f>IFERROR(ROUND(H339,0),"null")</f>
        <v>100</v>
      </c>
      <c r="J339" s="2" t="str">
        <f>IF(AND(A340=A339,I339=100,I340=100),"full access", " ")</f>
        <v xml:space="preserve"> </v>
      </c>
      <c r="K339" s="2">
        <v>0</v>
      </c>
      <c r="L339" s="2">
        <v>0</v>
      </c>
      <c r="M339" s="2">
        <v>0</v>
      </c>
      <c r="N339" s="2" t="s">
        <v>45</v>
      </c>
      <c r="O339" s="2" t="str">
        <f>IFERROR(ROUND(N339,0),"null")</f>
        <v>null</v>
      </c>
      <c r="P339" s="2" t="str">
        <f>IF(AND(A339=A340,O339=100,O340=100),"full access"," ")</f>
        <v xml:space="preserve"> </v>
      </c>
      <c r="Q339" s="2" t="str">
        <f>IFERROR(IF(A340=A339,((N339-N340)/(C339-C340)),""),"null")</f>
        <v/>
      </c>
      <c r="R339" s="2" t="s">
        <v>45</v>
      </c>
      <c r="S339" s="2" t="s">
        <v>45</v>
      </c>
      <c r="T339" s="2" t="s">
        <v>45</v>
      </c>
      <c r="U339" s="2" t="s">
        <v>45</v>
      </c>
      <c r="V339" s="2" t="str">
        <f>IFERROR(ROUND(U339,0),"null")</f>
        <v>null</v>
      </c>
      <c r="W339" s="2" t="str">
        <f>IF(AND(A339=A340,V339=100,V340=100),"full access","")</f>
        <v/>
      </c>
      <c r="X339" s="2" t="str">
        <f>IFERROR(IF(A340=A339,((U339-U340)/(C339-C340)),""),"null")</f>
        <v/>
      </c>
      <c r="Y339" s="2" t="s">
        <v>45</v>
      </c>
      <c r="Z339" s="2" t="s">
        <v>45</v>
      </c>
      <c r="AA339" s="2" t="s">
        <v>45</v>
      </c>
      <c r="AB339" s="2" t="str">
        <f>IFERROR(IF(A340=A339, Q339-X339, ""), "null")</f>
        <v/>
      </c>
    </row>
    <row r="340" spans="1:28">
      <c r="A340" s="2" t="s">
        <v>221</v>
      </c>
      <c r="B340" s="2" t="str">
        <f>VLOOKUP(A340,Regions!A:B,2,0)</f>
        <v>Europe &amp; Central Asia</v>
      </c>
      <c r="C340" s="2">
        <v>2015</v>
      </c>
      <c r="D340" s="2">
        <f>IF(A341=A340,ABS(C341-C340),"")</f>
        <v>5</v>
      </c>
      <c r="E340" s="2">
        <f>IFERROR(IF(A341=A340,((H340-H341)/(C340-C341)), ""), "null")</f>
        <v>0</v>
      </c>
      <c r="F340" s="2">
        <v>19925.181639999999</v>
      </c>
      <c r="G340" s="2">
        <v>53.886997219999998</v>
      </c>
      <c r="H340" s="2">
        <v>100</v>
      </c>
      <c r="I340" s="2">
        <f>IFERROR(ROUND(H340,0),"null")</f>
        <v>100</v>
      </c>
      <c r="J340" s="2" t="str">
        <f>IF(AND(A341=A340,I340=100,I341=100),"full access", " ")</f>
        <v>full access</v>
      </c>
      <c r="K340" s="2">
        <v>0</v>
      </c>
      <c r="L340" s="2">
        <v>0</v>
      </c>
      <c r="M340" s="2">
        <v>0</v>
      </c>
      <c r="N340" s="2">
        <v>100</v>
      </c>
      <c r="O340" s="2">
        <f>IFERROR(ROUND(N340,0),"null")</f>
        <v>100</v>
      </c>
      <c r="P340" s="2" t="str">
        <f>IF(AND(A340=A341,O340=100,O341=100),"full access"," ")</f>
        <v>full access</v>
      </c>
      <c r="Q340" s="2">
        <f>IFERROR(IF(A341=A340,((N340-N341)/(C340-C341)),""),"null")</f>
        <v>0</v>
      </c>
      <c r="R340" s="2">
        <v>0</v>
      </c>
      <c r="S340" s="2">
        <v>0</v>
      </c>
      <c r="T340" s="2">
        <v>0</v>
      </c>
      <c r="U340" s="2">
        <v>100</v>
      </c>
      <c r="V340" s="2">
        <f>IFERROR(ROUND(U340,0),"null")</f>
        <v>100</v>
      </c>
      <c r="W340" s="2" t="str">
        <f>IF(AND(A340=A341,V340=100,V341=100),"full access","")</f>
        <v>full access</v>
      </c>
      <c r="X340" s="2">
        <f>IFERROR(IF(A341=A340,((U340-U341)/(C340-C341)),""),"null")</f>
        <v>0</v>
      </c>
      <c r="Y340" s="2">
        <v>0</v>
      </c>
      <c r="Z340" s="2">
        <v>0</v>
      </c>
      <c r="AA340" s="2">
        <v>0</v>
      </c>
      <c r="AB340" s="2">
        <f>IFERROR(IF(A341=A340, Q340-X340, ""), "null")</f>
        <v>0</v>
      </c>
    </row>
    <row r="341" spans="1:28">
      <c r="A341" s="2" t="s">
        <v>221</v>
      </c>
      <c r="B341" s="2" t="str">
        <f>VLOOKUP(A341,Regions!A:B,2,0)</f>
        <v>Europe &amp; Central Asia</v>
      </c>
      <c r="C341" s="2">
        <v>2020</v>
      </c>
      <c r="D341" s="2" t="str">
        <f>IF(A342=A341,ABS(C342-C341),"")</f>
        <v/>
      </c>
      <c r="E341" s="2" t="str">
        <f>IFERROR(IF(A342=A341,((H341-H342)/(C341-C342)), ""), "null")</f>
        <v/>
      </c>
      <c r="F341" s="2">
        <v>19237.681639999999</v>
      </c>
      <c r="G341" s="2">
        <v>54.194000240000001</v>
      </c>
      <c r="H341" s="2">
        <v>100</v>
      </c>
      <c r="I341" s="2">
        <f>IFERROR(ROUND(H341,0),"null")</f>
        <v>100</v>
      </c>
      <c r="J341" s="2" t="str">
        <f>IF(AND(A342=A341,I341=100,I342=100),"full access", " ")</f>
        <v xml:space="preserve"> </v>
      </c>
      <c r="K341" s="2">
        <v>0</v>
      </c>
      <c r="L341" s="2">
        <v>0</v>
      </c>
      <c r="M341" s="2">
        <v>0</v>
      </c>
      <c r="N341" s="2">
        <v>100</v>
      </c>
      <c r="O341" s="2">
        <f>IFERROR(ROUND(N341,0),"null")</f>
        <v>100</v>
      </c>
      <c r="P341" s="2" t="str">
        <f>IF(AND(A341=A342,O341=100,O342=100),"full access"," ")</f>
        <v xml:space="preserve"> </v>
      </c>
      <c r="Q341" s="2" t="str">
        <f>IFERROR(IF(A342=A341,((N341-N342)/(C341-C342)),""),"null")</f>
        <v/>
      </c>
      <c r="R341" s="2">
        <v>0</v>
      </c>
      <c r="S341" s="2">
        <v>0</v>
      </c>
      <c r="T341" s="2">
        <v>0</v>
      </c>
      <c r="U341" s="2">
        <v>100</v>
      </c>
      <c r="V341" s="2">
        <f>IFERROR(ROUND(U341,0),"null")</f>
        <v>100</v>
      </c>
      <c r="W341" s="2" t="str">
        <f>IF(AND(A341=A342,V341=100,V342=100),"full access","")</f>
        <v/>
      </c>
      <c r="X341" s="2" t="str">
        <f>IFERROR(IF(A342=A341,((U341-U342)/(C341-C342)),""),"null")</f>
        <v/>
      </c>
      <c r="Y341" s="2">
        <v>0</v>
      </c>
      <c r="Z341" s="2">
        <v>0</v>
      </c>
      <c r="AA341" s="2">
        <v>0</v>
      </c>
      <c r="AB341" s="2" t="str">
        <f>IFERROR(IF(A342=A341, Q341-X341, ""), "null")</f>
        <v/>
      </c>
    </row>
    <row r="342" spans="1:28">
      <c r="A342" s="2" t="s">
        <v>222</v>
      </c>
      <c r="B342" s="2" t="str">
        <f>VLOOKUP(A342,Regions!A:B,2,0)</f>
        <v>Europe &amp; Central Asia</v>
      </c>
      <c r="C342" s="2">
        <v>2015</v>
      </c>
      <c r="D342" s="2">
        <f>IF(A343=A342,ABS(C343-C342),"")</f>
        <v>5</v>
      </c>
      <c r="E342" s="2">
        <f>IFERROR(IF(A343=A342,((H342-H343)/(C342-C343)), ""), "null")</f>
        <v>9.307852800000091E-2</v>
      </c>
      <c r="F342" s="2">
        <v>144985.0625</v>
      </c>
      <c r="G342" s="2">
        <v>74.049995420000002</v>
      </c>
      <c r="H342" s="2">
        <v>96.527155429999993</v>
      </c>
      <c r="I342" s="2">
        <f>IFERROR(ROUND(H342,0),"null")</f>
        <v>97</v>
      </c>
      <c r="J342" s="2" t="str">
        <f>IF(AND(A343=A342,I342=100,I343=100),"full access", " ")</f>
        <v xml:space="preserve"> </v>
      </c>
      <c r="K342" s="2">
        <v>0.62448653440000002</v>
      </c>
      <c r="L342" s="2">
        <v>2.848358036</v>
      </c>
      <c r="M342" s="2" t="s">
        <v>45</v>
      </c>
      <c r="N342" s="2">
        <v>90.110109010000002</v>
      </c>
      <c r="O342" s="2">
        <f>IFERROR(ROUND(N342,0),"null")</f>
        <v>90</v>
      </c>
      <c r="P342" s="2" t="str">
        <f>IF(AND(A342=A343,O342=100,O343=100),"full access"," ")</f>
        <v xml:space="preserve"> </v>
      </c>
      <c r="Q342" s="2">
        <f>IFERROR(IF(A343=A342,((N342-N343)/(C342-C343)),""),"null")</f>
        <v>0.2867985900000008</v>
      </c>
      <c r="R342" s="2">
        <v>1.558364042</v>
      </c>
      <c r="S342" s="2">
        <v>8.3315269460000003</v>
      </c>
      <c r="T342" s="2" t="s">
        <v>45</v>
      </c>
      <c r="U342" s="2">
        <v>98.775934890000002</v>
      </c>
      <c r="V342" s="2">
        <f>IFERROR(ROUND(U342,0),"null")</f>
        <v>99</v>
      </c>
      <c r="W342" s="2" t="str">
        <f>IF(AND(A342=A343,V342=100,V343=100),"full access","")</f>
        <v/>
      </c>
      <c r="X342" s="2">
        <f>IFERROR(IF(A343=A342,((U342-U343)/(C342-C343)),""),"null")</f>
        <v>1.1332944000000112E-2</v>
      </c>
      <c r="Y342" s="2">
        <v>0.29721946310000003</v>
      </c>
      <c r="Z342" s="2">
        <v>0.72684564200000001</v>
      </c>
      <c r="AA342" s="2">
        <v>0.2</v>
      </c>
      <c r="AB342" s="2">
        <f>IFERROR(IF(A343=A342, Q342-X342, ""), "null")</f>
        <v>0.27546564600000067</v>
      </c>
    </row>
    <row r="343" spans="1:28">
      <c r="A343" s="2" t="s">
        <v>222</v>
      </c>
      <c r="B343" s="2" t="str">
        <f>VLOOKUP(A343,Regions!A:B,2,0)</f>
        <v>Europe &amp; Central Asia</v>
      </c>
      <c r="C343" s="2">
        <v>2020</v>
      </c>
      <c r="D343" s="2" t="str">
        <f>IF(A344=A343,ABS(C344-C343),"")</f>
        <v/>
      </c>
      <c r="E343" s="2" t="str">
        <f>IFERROR(IF(A344=A343,((H343-H344)/(C343-C344)), ""), "null")</f>
        <v/>
      </c>
      <c r="F343" s="2">
        <v>145934.45310000001</v>
      </c>
      <c r="G343" s="2">
        <v>74.754005430000007</v>
      </c>
      <c r="H343" s="2">
        <v>96.992548069999998</v>
      </c>
      <c r="I343" s="2">
        <f>IFERROR(ROUND(H343,0),"null")</f>
        <v>97</v>
      </c>
      <c r="J343" s="2" t="str">
        <f>IF(AND(A344=A343,I343=100,I344=100),"full access", " ")</f>
        <v xml:space="preserve"> </v>
      </c>
      <c r="K343" s="2">
        <v>0.62199637659999996</v>
      </c>
      <c r="L343" s="2">
        <v>2.3854555500000001</v>
      </c>
      <c r="M343" s="2" t="s">
        <v>45</v>
      </c>
      <c r="N343" s="2">
        <v>91.544101960000006</v>
      </c>
      <c r="O343" s="2">
        <f>IFERROR(ROUND(N343,0),"null")</f>
        <v>92</v>
      </c>
      <c r="P343" s="2" t="str">
        <f>IF(AND(A343=A344,O343=100,O344=100),"full access"," ")</f>
        <v xml:space="preserve"> </v>
      </c>
      <c r="Q343" s="2" t="str">
        <f>IFERROR(IF(A344=A343,((N343-N344)/(C343-C344)),""),"null")</f>
        <v/>
      </c>
      <c r="R343" s="2">
        <v>1.5831635129999999</v>
      </c>
      <c r="S343" s="2">
        <v>6.8727345309999999</v>
      </c>
      <c r="T343" s="2" t="s">
        <v>45</v>
      </c>
      <c r="U343" s="2">
        <v>98.832599610000003</v>
      </c>
      <c r="V343" s="2">
        <f>IFERROR(ROUND(U343,0),"null")</f>
        <v>99</v>
      </c>
      <c r="W343" s="2" t="str">
        <f>IF(AND(A343=A344,V343=100,V344=100),"full access","")</f>
        <v/>
      </c>
      <c r="X343" s="2" t="str">
        <f>IFERROR(IF(A344=A343,((U343-U344)/(C343-C344)),""),"null")</f>
        <v/>
      </c>
      <c r="Y343" s="2">
        <v>0.29738996870000001</v>
      </c>
      <c r="Z343" s="2">
        <v>0.67001042359999996</v>
      </c>
      <c r="AA343" s="2">
        <v>0.2</v>
      </c>
      <c r="AB343" s="2" t="str">
        <f>IFERROR(IF(A344=A343, Q343-X343, ""), "null")</f>
        <v/>
      </c>
    </row>
    <row r="344" spans="1:28">
      <c r="A344" s="2" t="s">
        <v>223</v>
      </c>
      <c r="B344" s="2" t="str">
        <f>VLOOKUP(A344,Regions!A:B,2,0)</f>
        <v>Sub-Saharan Africa</v>
      </c>
      <c r="C344" s="2">
        <v>2015</v>
      </c>
      <c r="D344" s="2">
        <f>IF(A345=A344,ABS(C345-C344),"")</f>
        <v>5</v>
      </c>
      <c r="E344" s="2">
        <f>IFERROR(IF(A345=A344,((H344-H345)/(C344-C345)), ""), "null")</f>
        <v>0.65854542600000054</v>
      </c>
      <c r="F344" s="2">
        <v>11369.066409999999</v>
      </c>
      <c r="G344" s="2">
        <v>17.003999709999999</v>
      </c>
      <c r="H344" s="2">
        <v>57.121774019999997</v>
      </c>
      <c r="I344" s="2">
        <f>IFERROR(ROUND(H344,0),"null")</f>
        <v>57</v>
      </c>
      <c r="J344" s="2" t="str">
        <f>IF(AND(A345=A344,I344=100,I345=100),"full access", " ")</f>
        <v xml:space="preserve"> </v>
      </c>
      <c r="K344" s="2">
        <v>22.154046149999999</v>
      </c>
      <c r="L344" s="2">
        <v>13.45013172</v>
      </c>
      <c r="M344" s="2">
        <v>7.2740481099999998</v>
      </c>
      <c r="N344" s="2">
        <v>52.352709560000001</v>
      </c>
      <c r="O344" s="2">
        <f>IFERROR(ROUND(N344,0),"null")</f>
        <v>52</v>
      </c>
      <c r="P344" s="2" t="str">
        <f>IF(AND(A344=A345,O344=100,O345=100),"full access"," ")</f>
        <v xml:space="preserve"> </v>
      </c>
      <c r="Q344" s="2">
        <f>IFERROR(IF(A345=A344,((N344-N345)/(C344-C345)),""),"null")</f>
        <v>0.65795173399999951</v>
      </c>
      <c r="R344" s="2">
        <v>24.60883866</v>
      </c>
      <c r="S344" s="2">
        <v>14.980603540000001</v>
      </c>
      <c r="T344" s="2">
        <v>8.0578482410000003</v>
      </c>
      <c r="U344" s="2">
        <v>80.399437379999995</v>
      </c>
      <c r="V344" s="2">
        <f>IFERROR(ROUND(U344,0),"null")</f>
        <v>80</v>
      </c>
      <c r="W344" s="2" t="str">
        <f>IF(AND(A344=A345,V344=100,V345=100),"full access","")</f>
        <v/>
      </c>
      <c r="X344" s="2">
        <f>IFERROR(IF(A345=A344,((U344-U345)/(C344-C345)),""),"null")</f>
        <v>0.52363238400000112</v>
      </c>
      <c r="Y344" s="2">
        <v>10.172282620000001</v>
      </c>
      <c r="Z344" s="2">
        <v>5.9799351659999997</v>
      </c>
      <c r="AA344" s="2">
        <v>3.4483448280000002</v>
      </c>
      <c r="AB344" s="2">
        <f>IFERROR(IF(A345=A344, Q344-X344, ""), "null")</f>
        <v>0.13431934999999839</v>
      </c>
    </row>
    <row r="345" spans="1:28">
      <c r="A345" s="2" t="s">
        <v>223</v>
      </c>
      <c r="B345" s="2" t="str">
        <f>VLOOKUP(A345,Regions!A:B,2,0)</f>
        <v>Sub-Saharan Africa</v>
      </c>
      <c r="C345" s="2">
        <v>2020</v>
      </c>
      <c r="D345" s="2" t="str">
        <f>IF(A346=A345,ABS(C346-C345),"")</f>
        <v/>
      </c>
      <c r="E345" s="2" t="str">
        <f>IFERROR(IF(A346=A345,((H345-H346)/(C345-C346)), ""), "null")</f>
        <v/>
      </c>
      <c r="F345" s="2">
        <v>12952.208979999999</v>
      </c>
      <c r="G345" s="2">
        <v>17.432001110000002</v>
      </c>
      <c r="H345" s="2">
        <v>60.41450115</v>
      </c>
      <c r="I345" s="2">
        <f>IFERROR(ROUND(H345,0),"null")</f>
        <v>60</v>
      </c>
      <c r="J345" s="2" t="str">
        <f>IF(AND(A346=A345,I345=100,I346=100),"full access", " ")</f>
        <v xml:space="preserve"> </v>
      </c>
      <c r="K345" s="2">
        <v>22.3207193</v>
      </c>
      <c r="L345" s="2">
        <v>13.15480415</v>
      </c>
      <c r="M345" s="2">
        <v>4.1099754009999998</v>
      </c>
      <c r="N345" s="2">
        <v>55.642468229999999</v>
      </c>
      <c r="O345" s="2">
        <f>IFERROR(ROUND(N345,0),"null")</f>
        <v>56</v>
      </c>
      <c r="P345" s="2" t="str">
        <f>IF(AND(A345=A346,O345=100,O346=100),"full access"," ")</f>
        <v xml:space="preserve"> </v>
      </c>
      <c r="Q345" s="2" t="str">
        <f>IFERROR(IF(A346=A345,((N345-N346)/(C345-C346)),""),"null")</f>
        <v/>
      </c>
      <c r="R345" s="2">
        <v>25.08014133</v>
      </c>
      <c r="S345" s="2">
        <v>14.778867719999999</v>
      </c>
      <c r="T345" s="2">
        <v>4.4985227139999999</v>
      </c>
      <c r="U345" s="2">
        <v>83.017599300000001</v>
      </c>
      <c r="V345" s="2">
        <f>IFERROR(ROUND(U345,0),"null")</f>
        <v>83</v>
      </c>
      <c r="W345" s="2" t="str">
        <f>IF(AND(A345=A346,V345=100,V346=100),"full access","")</f>
        <v/>
      </c>
      <c r="X345" s="2" t="str">
        <f>IFERROR(IF(A346=A345,((U345-U346)/(C345-C346)),""),"null")</f>
        <v/>
      </c>
      <c r="Y345" s="2">
        <v>9.2505062509999991</v>
      </c>
      <c r="Z345" s="2">
        <v>5.4623030569999997</v>
      </c>
      <c r="AA345" s="2">
        <v>2.2695913939999999</v>
      </c>
      <c r="AB345" s="2" t="str">
        <f>IFERROR(IF(A346=A345, Q345-X345, ""), "null")</f>
        <v/>
      </c>
    </row>
    <row r="346" spans="1:28">
      <c r="A346" s="2" t="s">
        <v>224</v>
      </c>
      <c r="B346" s="2" t="str">
        <f>VLOOKUP(A346,Regions!A:B,2,0)</f>
        <v>Latin America &amp; Caribbean</v>
      </c>
      <c r="C346" s="2">
        <v>2015</v>
      </c>
      <c r="D346" s="2">
        <f>IF(A347=A346,ABS(C347-C346),"")</f>
        <v>5</v>
      </c>
      <c r="E346" s="2">
        <f>IFERROR(IF(A347=A346,((H346-H347)/(C346-C347)), ""), "null")</f>
        <v>7.0161460000008448E-3</v>
      </c>
      <c r="F346" s="2">
        <v>9.6959999999999997</v>
      </c>
      <c r="G346" s="2">
        <v>100</v>
      </c>
      <c r="H346" s="2">
        <v>99.964919269999996</v>
      </c>
      <c r="I346" s="2">
        <f>IFERROR(ROUND(H346,0),"null")</f>
        <v>100</v>
      </c>
      <c r="J346" s="2" t="str">
        <f>IF(AND(A347=A346,I346=100,I347=100),"full access", " ")</f>
        <v>full access</v>
      </c>
      <c r="K346" s="2">
        <v>0</v>
      </c>
      <c r="L346" s="2">
        <v>3.5080726299999997E-2</v>
      </c>
      <c r="M346" s="2">
        <v>0</v>
      </c>
      <c r="N346" s="2" t="s">
        <v>45</v>
      </c>
      <c r="O346" s="2" t="str">
        <f>IFERROR(ROUND(N346,0),"null")</f>
        <v>null</v>
      </c>
      <c r="P346" s="2" t="str">
        <f>IF(AND(A346=A347,O346=100,O347=100),"full access"," ")</f>
        <v xml:space="preserve"> </v>
      </c>
      <c r="Q346" s="2" t="str">
        <f>IFERROR(IF(A347=A346,((N346-N347)/(C346-C347)),""),"null")</f>
        <v>null</v>
      </c>
      <c r="R346" s="2" t="s">
        <v>45</v>
      </c>
      <c r="S346" s="2" t="s">
        <v>45</v>
      </c>
      <c r="T346" s="2" t="s">
        <v>45</v>
      </c>
      <c r="U346" s="2">
        <v>99.964919269999996</v>
      </c>
      <c r="V346" s="2">
        <f>IFERROR(ROUND(U346,0),"null")</f>
        <v>100</v>
      </c>
      <c r="W346" s="2" t="str">
        <f>IF(AND(A346=A347,V346=100,V347=100),"full access","")</f>
        <v>full access</v>
      </c>
      <c r="X346" s="2">
        <f>IFERROR(IF(A347=A346,((U346-U347)/(C346-C347)),""),"null")</f>
        <v>7.0161460000008448E-3</v>
      </c>
      <c r="Y346" s="2">
        <v>0</v>
      </c>
      <c r="Z346" s="2">
        <v>3.5080726299999997E-2</v>
      </c>
      <c r="AA346" s="2">
        <v>0</v>
      </c>
      <c r="AB346" s="2" t="str">
        <f>IFERROR(IF(A347=A346, Q346-X346, ""), "null")</f>
        <v>null</v>
      </c>
    </row>
    <row r="347" spans="1:28">
      <c r="A347" s="2" t="s">
        <v>224</v>
      </c>
      <c r="B347" s="2" t="str">
        <f>VLOOKUP(A347,Regions!A:B,2,0)</f>
        <v>Latin America &amp; Caribbean</v>
      </c>
      <c r="C347" s="2">
        <v>2020</v>
      </c>
      <c r="D347" s="2" t="str">
        <f>IF(A348=A347,ABS(C348-C347),"")</f>
        <v/>
      </c>
      <c r="E347" s="2" t="str">
        <f>IFERROR(IF(A348=A347,((H347-H348)/(C347-C348)), ""), "null")</f>
        <v/>
      </c>
      <c r="F347" s="2">
        <v>9.8849999999999998</v>
      </c>
      <c r="G347" s="2">
        <v>100</v>
      </c>
      <c r="H347" s="2">
        <v>100</v>
      </c>
      <c r="I347" s="2">
        <f>IFERROR(ROUND(H347,0),"null")</f>
        <v>100</v>
      </c>
      <c r="J347" s="2" t="str">
        <f>IF(AND(A348=A347,I347=100,I348=100),"full access", " ")</f>
        <v xml:space="preserve"> </v>
      </c>
      <c r="K347" s="2">
        <v>0</v>
      </c>
      <c r="L347" s="2">
        <v>0</v>
      </c>
      <c r="M347" s="2">
        <v>0</v>
      </c>
      <c r="N347" s="2" t="s">
        <v>45</v>
      </c>
      <c r="O347" s="2" t="str">
        <f>IFERROR(ROUND(N347,0),"null")</f>
        <v>null</v>
      </c>
      <c r="P347" s="2" t="str">
        <f>IF(AND(A347=A348,O347=100,O348=100),"full access"," ")</f>
        <v xml:space="preserve"> </v>
      </c>
      <c r="Q347" s="2" t="str">
        <f>IFERROR(IF(A348=A347,((N347-N348)/(C347-C348)),""),"null")</f>
        <v/>
      </c>
      <c r="R347" s="2" t="s">
        <v>45</v>
      </c>
      <c r="S347" s="2" t="s">
        <v>45</v>
      </c>
      <c r="T347" s="2" t="s">
        <v>45</v>
      </c>
      <c r="U347" s="2">
        <v>100</v>
      </c>
      <c r="V347" s="2">
        <f>IFERROR(ROUND(U347,0),"null")</f>
        <v>100</v>
      </c>
      <c r="W347" s="2" t="str">
        <f>IF(AND(A347=A348,V347=100,V348=100),"full access","")</f>
        <v/>
      </c>
      <c r="X347" s="2" t="str">
        <f>IFERROR(IF(A348=A347,((U347-U348)/(C347-C348)),""),"null")</f>
        <v/>
      </c>
      <c r="Y347" s="2">
        <v>0</v>
      </c>
      <c r="Z347" s="2">
        <v>0</v>
      </c>
      <c r="AA347" s="2">
        <v>0</v>
      </c>
      <c r="AB347" s="2" t="str">
        <f>IFERROR(IF(A348=A347, Q347-X347, ""), "null")</f>
        <v/>
      </c>
    </row>
    <row r="348" spans="1:28">
      <c r="A348" s="2" t="s">
        <v>225</v>
      </c>
      <c r="B348" s="2" t="str">
        <f>VLOOKUP(A348,Regions!A:B,2,0)</f>
        <v>Sub-Saharan Africa</v>
      </c>
      <c r="C348" s="2">
        <v>2015</v>
      </c>
      <c r="D348" s="2">
        <f>IF(A349=A348,ABS(C349-C348),"")</f>
        <v>5</v>
      </c>
      <c r="E348" s="2">
        <f>IFERROR(IF(A349=A348,((H348-H349)/(C348-C349)), ""), "null")</f>
        <v>2.9999999999998295E-2</v>
      </c>
      <c r="F348" s="2">
        <v>5.8689999579999999</v>
      </c>
      <c r="G348" s="2">
        <v>39.539997100000001</v>
      </c>
      <c r="H348" s="2">
        <v>98.95</v>
      </c>
      <c r="I348" s="2">
        <f>IFERROR(ROUND(H348,0),"null")</f>
        <v>99</v>
      </c>
      <c r="J348" s="2" t="str">
        <f>IF(AND(A349=A348,I348=100,I349=100),"full access", " ")</f>
        <v xml:space="preserve"> </v>
      </c>
      <c r="K348" s="2">
        <v>0</v>
      </c>
      <c r="L348" s="2">
        <v>1.05</v>
      </c>
      <c r="M348" s="2">
        <v>0</v>
      </c>
      <c r="N348" s="2" t="s">
        <v>45</v>
      </c>
      <c r="O348" s="2" t="str">
        <f>IFERROR(ROUND(N348,0),"null")</f>
        <v>null</v>
      </c>
      <c r="P348" s="2" t="str">
        <f>IF(AND(A348=A349,O348=100,O349=100),"full access"," ")</f>
        <v xml:space="preserve"> </v>
      </c>
      <c r="Q348" s="2" t="str">
        <f>IFERROR(IF(A349=A348,((N348-N349)/(C348-C349)),""),"null")</f>
        <v>null</v>
      </c>
      <c r="R348" s="2" t="s">
        <v>45</v>
      </c>
      <c r="S348" s="2" t="s">
        <v>45</v>
      </c>
      <c r="T348" s="2" t="s">
        <v>45</v>
      </c>
      <c r="U348" s="2" t="s">
        <v>45</v>
      </c>
      <c r="V348" s="2" t="str">
        <f>IFERROR(ROUND(U348,0),"null")</f>
        <v>null</v>
      </c>
      <c r="W348" s="2" t="str">
        <f>IF(AND(A348=A349,V348=100,V349=100),"full access","")</f>
        <v/>
      </c>
      <c r="X348" s="2" t="str">
        <f>IFERROR(IF(A349=A348,((U348-U349)/(C348-C349)),""),"null")</f>
        <v>null</v>
      </c>
      <c r="Y348" s="2" t="s">
        <v>45</v>
      </c>
      <c r="Z348" s="2" t="s">
        <v>45</v>
      </c>
      <c r="AA348" s="2" t="s">
        <v>45</v>
      </c>
      <c r="AB348" s="2" t="str">
        <f>IFERROR(IF(A349=A348, Q348-X348, ""), "null")</f>
        <v>null</v>
      </c>
    </row>
    <row r="349" spans="1:28">
      <c r="A349" s="2" t="s">
        <v>225</v>
      </c>
      <c r="B349" s="2" t="str">
        <f>VLOOKUP(A349,Regions!A:B,2,0)</f>
        <v>Sub-Saharan Africa</v>
      </c>
      <c r="C349" s="2">
        <v>2020</v>
      </c>
      <c r="D349" s="2" t="str">
        <f>IF(A350=A349,ABS(C350-C349),"")</f>
        <v/>
      </c>
      <c r="E349" s="2" t="str">
        <f>IFERROR(IF(A350=A349,((H349-H350)/(C349-C350)), ""), "null")</f>
        <v/>
      </c>
      <c r="F349" s="2">
        <v>6.0710000989999999</v>
      </c>
      <c r="G349" s="2">
        <v>40.082000729999997</v>
      </c>
      <c r="H349" s="2">
        <v>99.1</v>
      </c>
      <c r="I349" s="2">
        <f>IFERROR(ROUND(H349,0),"null")</f>
        <v>99</v>
      </c>
      <c r="J349" s="2" t="str">
        <f>IF(AND(A350=A349,I349=100,I350=100),"full access", " ")</f>
        <v xml:space="preserve"> </v>
      </c>
      <c r="K349" s="2">
        <v>0</v>
      </c>
      <c r="L349" s="2">
        <v>0.9</v>
      </c>
      <c r="M349" s="2">
        <v>0</v>
      </c>
      <c r="N349" s="2" t="s">
        <v>45</v>
      </c>
      <c r="O349" s="2" t="str">
        <f>IFERROR(ROUND(N349,0),"null")</f>
        <v>null</v>
      </c>
      <c r="P349" s="2" t="str">
        <f>IF(AND(A349=A350,O349=100,O350=100),"full access"," ")</f>
        <v xml:space="preserve"> </v>
      </c>
      <c r="Q349" s="2" t="str">
        <f>IFERROR(IF(A350=A349,((N349-N350)/(C349-C350)),""),"null")</f>
        <v/>
      </c>
      <c r="R349" s="2" t="s">
        <v>45</v>
      </c>
      <c r="S349" s="2" t="s">
        <v>45</v>
      </c>
      <c r="T349" s="2" t="s">
        <v>45</v>
      </c>
      <c r="U349" s="2" t="s">
        <v>45</v>
      </c>
      <c r="V349" s="2" t="str">
        <f>IFERROR(ROUND(U349,0),"null")</f>
        <v>null</v>
      </c>
      <c r="W349" s="2" t="str">
        <f>IF(AND(A349=A350,V349=100,V350=100),"full access","")</f>
        <v/>
      </c>
      <c r="X349" s="2" t="str">
        <f>IFERROR(IF(A350=A349,((U349-U350)/(C349-C350)),""),"null")</f>
        <v/>
      </c>
      <c r="Y349" s="2" t="s">
        <v>45</v>
      </c>
      <c r="Z349" s="2" t="s">
        <v>45</v>
      </c>
      <c r="AA349" s="2" t="s">
        <v>45</v>
      </c>
      <c r="AB349" s="2" t="str">
        <f>IFERROR(IF(A350=A349, Q349-X349, ""), "null")</f>
        <v/>
      </c>
    </row>
    <row r="350" spans="1:28">
      <c r="A350" s="2" t="s">
        <v>226</v>
      </c>
      <c r="B350" s="2" t="str">
        <f>VLOOKUP(A350,Regions!A:B,2,0)</f>
        <v>Latin America &amp; Caribbean</v>
      </c>
      <c r="C350" s="2">
        <v>2015</v>
      </c>
      <c r="D350" s="2">
        <f>IF(A351=A350,ABS(C351-C350),"")</f>
        <v>2</v>
      </c>
      <c r="E350" s="2">
        <f>IFERROR(IF(A351=A350,((H350-H351)/(C350-C351)), ""), "null")</f>
        <v>0</v>
      </c>
      <c r="F350" s="2">
        <v>51.203998570000003</v>
      </c>
      <c r="G350" s="2">
        <v>30.82700157</v>
      </c>
      <c r="H350" s="2">
        <v>98.611854129999998</v>
      </c>
      <c r="I350" s="2">
        <f>IFERROR(ROUND(H350,0),"null")</f>
        <v>99</v>
      </c>
      <c r="J350" s="2" t="str">
        <f>IF(AND(A351=A350,I350=100,I351=100),"full access", " ")</f>
        <v xml:space="preserve"> </v>
      </c>
      <c r="K350" s="2">
        <v>0</v>
      </c>
      <c r="L350" s="2">
        <v>1.3881458680000001</v>
      </c>
      <c r="M350" s="2">
        <v>0</v>
      </c>
      <c r="N350" s="2" t="s">
        <v>45</v>
      </c>
      <c r="O350" s="2" t="str">
        <f>IFERROR(ROUND(N350,0),"null")</f>
        <v>null</v>
      </c>
      <c r="P350" s="2" t="str">
        <f>IF(AND(A350=A351,O350=100,O351=100),"full access"," ")</f>
        <v xml:space="preserve"> </v>
      </c>
      <c r="Q350" s="2" t="str">
        <f>IFERROR(IF(A351=A350,((N350-N351)/(C350-C351)),""),"null")</f>
        <v>null</v>
      </c>
      <c r="R350" s="2" t="s">
        <v>45</v>
      </c>
      <c r="S350" s="2" t="s">
        <v>45</v>
      </c>
      <c r="T350" s="2" t="s">
        <v>45</v>
      </c>
      <c r="U350" s="2" t="s">
        <v>45</v>
      </c>
      <c r="V350" s="2" t="str">
        <f>IFERROR(ROUND(U350,0),"null")</f>
        <v>null</v>
      </c>
      <c r="W350" s="2" t="str">
        <f>IF(AND(A350=A351,V350=100,V351=100),"full access","")</f>
        <v/>
      </c>
      <c r="X350" s="2" t="str">
        <f>IFERROR(IF(A351=A350,((U350-U351)/(C350-C351)),""),"null")</f>
        <v>null</v>
      </c>
      <c r="Y350" s="2" t="s">
        <v>45</v>
      </c>
      <c r="Z350" s="2" t="s">
        <v>45</v>
      </c>
      <c r="AA350" s="2" t="s">
        <v>45</v>
      </c>
      <c r="AB350" s="2" t="str">
        <f>IFERROR(IF(A351=A350, Q350-X350, ""), "null")</f>
        <v>null</v>
      </c>
    </row>
    <row r="351" spans="1:28">
      <c r="A351" s="2" t="s">
        <v>226</v>
      </c>
      <c r="B351" s="2" t="str">
        <f>VLOOKUP(A351,Regions!A:B,2,0)</f>
        <v>Latin America &amp; Caribbean</v>
      </c>
      <c r="C351" s="2">
        <v>2017</v>
      </c>
      <c r="D351" s="2" t="str">
        <f>IF(A352=A351,ABS(C352-C351),"")</f>
        <v/>
      </c>
      <c r="E351" s="2" t="str">
        <f>IFERROR(IF(A352=A351,((H351-H352)/(C351-C352)), ""), "null")</f>
        <v/>
      </c>
      <c r="F351" s="2">
        <v>52.0359993</v>
      </c>
      <c r="G351" s="2">
        <v>30.772996899999999</v>
      </c>
      <c r="H351" s="2">
        <v>98.611854129999998</v>
      </c>
      <c r="I351" s="2">
        <f>IFERROR(ROUND(H351,0),"null")</f>
        <v>99</v>
      </c>
      <c r="J351" s="2" t="str">
        <f>IF(AND(A352=A351,I351=100,I352=100),"full access", " ")</f>
        <v xml:space="preserve"> </v>
      </c>
      <c r="K351" s="2">
        <v>0</v>
      </c>
      <c r="L351" s="2">
        <v>1.3881458680000001</v>
      </c>
      <c r="M351" s="2">
        <v>0</v>
      </c>
      <c r="N351" s="2" t="s">
        <v>45</v>
      </c>
      <c r="O351" s="2" t="str">
        <f>IFERROR(ROUND(N351,0),"null")</f>
        <v>null</v>
      </c>
      <c r="P351" s="2" t="str">
        <f>IF(AND(A351=A352,O351=100,O352=100),"full access"," ")</f>
        <v xml:space="preserve"> </v>
      </c>
      <c r="Q351" s="2" t="str">
        <f>IFERROR(IF(A352=A351,((N351-N352)/(C351-C352)),""),"null")</f>
        <v/>
      </c>
      <c r="R351" s="2" t="s">
        <v>45</v>
      </c>
      <c r="S351" s="2" t="s">
        <v>45</v>
      </c>
      <c r="T351" s="2" t="s">
        <v>45</v>
      </c>
      <c r="U351" s="2" t="s">
        <v>45</v>
      </c>
      <c r="V351" s="2" t="str">
        <f>IFERROR(ROUND(U351,0),"null")</f>
        <v>null</v>
      </c>
      <c r="W351" s="2" t="str">
        <f>IF(AND(A351=A352,V351=100,V352=100),"full access","")</f>
        <v/>
      </c>
      <c r="X351" s="2" t="str">
        <f>IFERROR(IF(A352=A351,((U351-U352)/(C351-C352)),""),"null")</f>
        <v/>
      </c>
      <c r="Y351" s="2" t="s">
        <v>45</v>
      </c>
      <c r="Z351" s="2" t="s">
        <v>45</v>
      </c>
      <c r="AA351" s="2" t="s">
        <v>45</v>
      </c>
      <c r="AB351" s="2" t="str">
        <f>IFERROR(IF(A352=A351, Q351-X351, ""), "null")</f>
        <v/>
      </c>
    </row>
    <row r="352" spans="1:28">
      <c r="A352" s="2" t="s">
        <v>227</v>
      </c>
      <c r="B352" s="2" t="str">
        <f>VLOOKUP(A352,Regions!A:B,2,0)</f>
        <v>Latin America &amp; Caribbean</v>
      </c>
      <c r="C352" s="2">
        <v>2015</v>
      </c>
      <c r="D352" s="2">
        <f>IF(A353=A352,ABS(C353-C352),"")</f>
        <v>5</v>
      </c>
      <c r="E352" s="2">
        <f>IFERROR(IF(A353=A352,((H352-H353)/(C352-C353)), ""), "null")</f>
        <v>0.26395005800000038</v>
      </c>
      <c r="F352" s="2">
        <v>179.1309967</v>
      </c>
      <c r="G352" s="2">
        <v>18.51499939</v>
      </c>
      <c r="H352" s="2">
        <v>95.568094279999997</v>
      </c>
      <c r="I352" s="2">
        <f>IFERROR(ROUND(H352,0),"null")</f>
        <v>96</v>
      </c>
      <c r="J352" s="2" t="str">
        <f>IF(AND(A353=A352,I352=100,I353=100),"full access", " ")</f>
        <v xml:space="preserve"> </v>
      </c>
      <c r="K352" s="2">
        <v>1.790210415</v>
      </c>
      <c r="L352" s="2">
        <v>2.6416953030000001</v>
      </c>
      <c r="M352" s="2">
        <v>0</v>
      </c>
      <c r="N352" s="2">
        <v>95.312261239999998</v>
      </c>
      <c r="O352" s="2">
        <f>IFERROR(ROUND(N352,0),"null")</f>
        <v>95</v>
      </c>
      <c r="P352" s="2" t="str">
        <f>IF(AND(A352=A353,O352=100,O353=100),"full access"," ")</f>
        <v xml:space="preserve"> </v>
      </c>
      <c r="Q352" s="2">
        <f>IFERROR(IF(A353=A352,((N352-N353)/(C352-C353)),""),"null")</f>
        <v>0.30035251799999968</v>
      </c>
      <c r="R352" s="2">
        <v>1.707252381</v>
      </c>
      <c r="S352" s="2">
        <v>2.9804863780000002</v>
      </c>
      <c r="T352" s="2">
        <v>0</v>
      </c>
      <c r="U352" s="2">
        <v>96.694033180000005</v>
      </c>
      <c r="V352" s="2">
        <f>IFERROR(ROUND(U352,0),"null")</f>
        <v>97</v>
      </c>
      <c r="W352" s="2" t="str">
        <f>IF(AND(A352=A353,V352=100,V353=100),"full access","")</f>
        <v/>
      </c>
      <c r="X352" s="2">
        <f>IFERROR(IF(A353=A352,((U352-U353)/(C352-C353)),""),"null")</f>
        <v>0.10235780200000022</v>
      </c>
      <c r="Y352" s="2">
        <v>2.1553111029999998</v>
      </c>
      <c r="Z352" s="2">
        <v>1.1506557129999999</v>
      </c>
      <c r="AA352" s="2">
        <v>0</v>
      </c>
      <c r="AB352" s="2">
        <f>IFERROR(IF(A353=A352, Q352-X352, ""), "null")</f>
        <v>0.19799471599999946</v>
      </c>
    </row>
    <row r="353" spans="1:28">
      <c r="A353" s="2" t="s">
        <v>227</v>
      </c>
      <c r="B353" s="2" t="str">
        <f>VLOOKUP(A353,Regions!A:B,2,0)</f>
        <v>Latin America &amp; Caribbean</v>
      </c>
      <c r="C353" s="2">
        <v>2020</v>
      </c>
      <c r="D353" s="2" t="str">
        <f>IF(A354=A353,ABS(C354-C353),"")</f>
        <v/>
      </c>
      <c r="E353" s="2" t="str">
        <f>IFERROR(IF(A354=A353,((H353-H354)/(C353-C354)), ""), "null")</f>
        <v/>
      </c>
      <c r="F353" s="2">
        <v>183.62899780000001</v>
      </c>
      <c r="G353" s="2">
        <v>18.8409996</v>
      </c>
      <c r="H353" s="2">
        <v>96.887844569999999</v>
      </c>
      <c r="I353" s="2">
        <f>IFERROR(ROUND(H353,0),"null")</f>
        <v>97</v>
      </c>
      <c r="J353" s="2" t="str">
        <f>IF(AND(A354=A353,I353=100,I354=100),"full access", " ")</f>
        <v xml:space="preserve"> </v>
      </c>
      <c r="K353" s="2">
        <v>1.815652166</v>
      </c>
      <c r="L353" s="2">
        <v>1.296503269</v>
      </c>
      <c r="M353" s="2">
        <v>0</v>
      </c>
      <c r="N353" s="2">
        <v>96.814023829999996</v>
      </c>
      <c r="O353" s="2">
        <f>IFERROR(ROUND(N353,0),"null")</f>
        <v>97</v>
      </c>
      <c r="P353" s="2" t="str">
        <f>IF(AND(A353=A354,O353=100,O354=100),"full access"," ")</f>
        <v xml:space="preserve"> </v>
      </c>
      <c r="Q353" s="2" t="str">
        <f>IFERROR(IF(A354=A353,((N353-N354)/(C353-C354)),""),"null")</f>
        <v/>
      </c>
      <c r="R353" s="2">
        <v>1.7341522549999999</v>
      </c>
      <c r="S353" s="2">
        <v>1.4518239180000001</v>
      </c>
      <c r="T353" s="2">
        <v>0</v>
      </c>
      <c r="U353" s="2">
        <v>97.205822190000006</v>
      </c>
      <c r="V353" s="2">
        <f>IFERROR(ROUND(U353,0),"null")</f>
        <v>97</v>
      </c>
      <c r="W353" s="2" t="str">
        <f>IF(AND(A353=A354,V353=100,V354=100),"full access","")</f>
        <v/>
      </c>
      <c r="X353" s="2" t="str">
        <f>IFERROR(IF(A354=A353,((U353-U354)/(C353-C354)),""),"null")</f>
        <v/>
      </c>
      <c r="Y353" s="2">
        <v>2.166718886</v>
      </c>
      <c r="Z353" s="2">
        <v>0.6274589237</v>
      </c>
      <c r="AA353" s="2">
        <v>0</v>
      </c>
      <c r="AB353" s="2" t="str">
        <f>IFERROR(IF(A354=A353, Q353-X353, ""), "null")</f>
        <v/>
      </c>
    </row>
    <row r="354" spans="1:28">
      <c r="A354" s="2" t="s">
        <v>228</v>
      </c>
      <c r="B354" s="2" t="str">
        <f>VLOOKUP(A354,Regions!A:B,2,0)</f>
        <v>Latin America &amp; Caribbean</v>
      </c>
      <c r="C354" s="2">
        <v>2015</v>
      </c>
      <c r="D354" s="2">
        <f>IF(A355=A354,ABS(C355-C354),"")</f>
        <v>5</v>
      </c>
      <c r="E354" s="2">
        <f>IFERROR(IF(A355=A354,((H354-H355)/(C354-C355)), ""), "null")</f>
        <v>-1.0056200000008175E-4</v>
      </c>
      <c r="F354" s="2">
        <v>35.865000000000002</v>
      </c>
      <c r="G354" s="2">
        <v>100</v>
      </c>
      <c r="H354" s="2">
        <v>99.999774200000004</v>
      </c>
      <c r="I354" s="2">
        <f>IFERROR(ROUND(H354,0),"null")</f>
        <v>100</v>
      </c>
      <c r="J354" s="2" t="str">
        <f>IF(AND(A355=A354,I354=100,I355=100),"full access", " ")</f>
        <v>full access</v>
      </c>
      <c r="K354" s="2">
        <v>0</v>
      </c>
      <c r="L354" s="2">
        <v>2.2580388819999999E-4</v>
      </c>
      <c r="M354" s="2">
        <v>0</v>
      </c>
      <c r="N354" s="2" t="s">
        <v>45</v>
      </c>
      <c r="O354" s="2" t="str">
        <f>IFERROR(ROUND(N354,0),"null")</f>
        <v>null</v>
      </c>
      <c r="P354" s="2" t="str">
        <f>IF(AND(A354=A355,O354=100,O355=100),"full access"," ")</f>
        <v xml:space="preserve"> </v>
      </c>
      <c r="Q354" s="2" t="str">
        <f>IFERROR(IF(A355=A354,((N354-N355)/(C354-C355)),""),"null")</f>
        <v>null</v>
      </c>
      <c r="R354" s="2" t="s">
        <v>45</v>
      </c>
      <c r="S354" s="2" t="s">
        <v>45</v>
      </c>
      <c r="T354" s="2" t="s">
        <v>45</v>
      </c>
      <c r="U354" s="2">
        <v>99.999774200000004</v>
      </c>
      <c r="V354" s="2">
        <f>IFERROR(ROUND(U354,0),"null")</f>
        <v>100</v>
      </c>
      <c r="W354" s="2" t="str">
        <f>IF(AND(A354=A355,V354=100,V355=100),"full access","")</f>
        <v>full access</v>
      </c>
      <c r="X354" s="2">
        <f>IFERROR(IF(A355=A354,((U354-U355)/(C354-C355)),""),"null")</f>
        <v>-1.0056200000008175E-4</v>
      </c>
      <c r="Y354" s="2">
        <v>0</v>
      </c>
      <c r="Z354" s="2">
        <v>2.2580388819999999E-4</v>
      </c>
      <c r="AA354" s="2">
        <v>0</v>
      </c>
      <c r="AB354" s="2" t="str">
        <f>IFERROR(IF(A355=A354, Q354-X354, ""), "null")</f>
        <v>null</v>
      </c>
    </row>
    <row r="355" spans="1:28">
      <c r="A355" s="2" t="s">
        <v>228</v>
      </c>
      <c r="B355" s="2" t="str">
        <f>VLOOKUP(A355,Regions!A:B,2,0)</f>
        <v>Latin America &amp; Caribbean</v>
      </c>
      <c r="C355" s="2">
        <v>2020</v>
      </c>
      <c r="D355" s="2" t="str">
        <f>IF(A356=A355,ABS(C356-C355),"")</f>
        <v/>
      </c>
      <c r="E355" s="2" t="str">
        <f>IFERROR(IF(A356=A355,((H355-H356)/(C355-C356)), ""), "null")</f>
        <v/>
      </c>
      <c r="F355" s="2">
        <v>38.658999999999999</v>
      </c>
      <c r="G355" s="2">
        <v>100</v>
      </c>
      <c r="H355" s="2">
        <v>99.999271390000004</v>
      </c>
      <c r="I355" s="2">
        <f>IFERROR(ROUND(H355,0),"null")</f>
        <v>100</v>
      </c>
      <c r="J355" s="2" t="str">
        <f>IF(AND(A356=A355,I355=100,I356=100),"full access", " ")</f>
        <v xml:space="preserve"> </v>
      </c>
      <c r="K355" s="2">
        <v>0</v>
      </c>
      <c r="L355" s="2">
        <v>7.2861055070000001E-4</v>
      </c>
      <c r="M355" s="2">
        <v>0</v>
      </c>
      <c r="N355" s="2" t="s">
        <v>45</v>
      </c>
      <c r="O355" s="2" t="str">
        <f>IFERROR(ROUND(N355,0),"null")</f>
        <v>null</v>
      </c>
      <c r="P355" s="2" t="str">
        <f>IF(AND(A355=A356,O355=100,O356=100),"full access"," ")</f>
        <v xml:space="preserve"> </v>
      </c>
      <c r="Q355" s="2" t="str">
        <f>IFERROR(IF(A356=A355,((N355-N356)/(C355-C356)),""),"null")</f>
        <v/>
      </c>
      <c r="R355" s="2" t="s">
        <v>45</v>
      </c>
      <c r="S355" s="2" t="s">
        <v>45</v>
      </c>
      <c r="T355" s="2" t="s">
        <v>45</v>
      </c>
      <c r="U355" s="2">
        <v>99.999271390000004</v>
      </c>
      <c r="V355" s="2">
        <f>IFERROR(ROUND(U355,0),"null")</f>
        <v>100</v>
      </c>
      <c r="W355" s="2" t="str">
        <f>IF(AND(A355=A356,V355=100,V356=100),"full access","")</f>
        <v/>
      </c>
      <c r="X355" s="2" t="str">
        <f>IFERROR(IF(A356=A355,((U355-U356)/(C355-C356)),""),"null")</f>
        <v/>
      </c>
      <c r="Y355" s="2">
        <v>0</v>
      </c>
      <c r="Z355" s="2">
        <v>7.2861055070000001E-4</v>
      </c>
      <c r="AA355" s="2">
        <v>0</v>
      </c>
      <c r="AB355" s="2" t="str">
        <f>IFERROR(IF(A356=A355, Q355-X355, ""), "null")</f>
        <v/>
      </c>
    </row>
    <row r="356" spans="1:28">
      <c r="A356" s="2" t="s">
        <v>229</v>
      </c>
      <c r="B356" s="2" t="str">
        <f>VLOOKUP(A356,Regions!A:B,2,0)</f>
        <v>North America</v>
      </c>
      <c r="C356" s="2">
        <v>2015</v>
      </c>
      <c r="D356" s="2">
        <f>IF(A357=A356,ABS(C357-C356),"")</f>
        <v>5</v>
      </c>
      <c r="E356" s="2">
        <f>IFERROR(IF(A357=A356,((H356-H357)/(C356-C357)), ""), "null")</f>
        <v>0</v>
      </c>
      <c r="F356" s="2">
        <v>5.9920001029999996</v>
      </c>
      <c r="G356" s="2">
        <v>89.888999940000005</v>
      </c>
      <c r="H356" s="2">
        <v>91.4</v>
      </c>
      <c r="I356" s="2">
        <f>IFERROR(ROUND(H356,0),"null")</f>
        <v>91</v>
      </c>
      <c r="J356" s="2" t="str">
        <f>IF(AND(A357=A356,I356=100,I357=100),"full access", " ")</f>
        <v xml:space="preserve"> </v>
      </c>
      <c r="K356" s="2">
        <v>0</v>
      </c>
      <c r="L356" s="2">
        <v>8.6</v>
      </c>
      <c r="M356" s="2">
        <v>0</v>
      </c>
      <c r="N356" s="2" t="s">
        <v>45</v>
      </c>
      <c r="O356" s="2" t="str">
        <f>IFERROR(ROUND(N356,0),"null")</f>
        <v>null</v>
      </c>
      <c r="P356" s="2" t="str">
        <f>IF(AND(A356=A357,O356=100,O357=100),"full access"," ")</f>
        <v xml:space="preserve"> </v>
      </c>
      <c r="Q356" s="2" t="str">
        <f>IFERROR(IF(A357=A356,((N356-N357)/(C356-C357)),""),"null")</f>
        <v>null</v>
      </c>
      <c r="R356" s="2" t="s">
        <v>45</v>
      </c>
      <c r="S356" s="2" t="s">
        <v>45</v>
      </c>
      <c r="T356" s="2" t="s">
        <v>45</v>
      </c>
      <c r="U356" s="2" t="s">
        <v>45</v>
      </c>
      <c r="V356" s="2" t="str">
        <f>IFERROR(ROUND(U356,0),"null")</f>
        <v>null</v>
      </c>
      <c r="W356" s="2" t="str">
        <f>IF(AND(A356=A357,V356=100,V357=100),"full access","")</f>
        <v/>
      </c>
      <c r="X356" s="2" t="str">
        <f>IFERROR(IF(A357=A356,((U356-U357)/(C356-C357)),""),"null")</f>
        <v>null</v>
      </c>
      <c r="Y356" s="2" t="s">
        <v>45</v>
      </c>
      <c r="Z356" s="2" t="s">
        <v>45</v>
      </c>
      <c r="AA356" s="2" t="s">
        <v>45</v>
      </c>
      <c r="AB356" s="2" t="str">
        <f>IFERROR(IF(A357=A356, Q356-X356, ""), "null")</f>
        <v>null</v>
      </c>
    </row>
    <row r="357" spans="1:28">
      <c r="A357" s="2" t="s">
        <v>229</v>
      </c>
      <c r="B357" s="2" t="str">
        <f>VLOOKUP(A357,Regions!A:B,2,0)</f>
        <v>North America</v>
      </c>
      <c r="C357" s="2">
        <v>2020</v>
      </c>
      <c r="D357" s="2" t="str">
        <f>IF(A358=A357,ABS(C358-C357),"")</f>
        <v/>
      </c>
      <c r="E357" s="2" t="str">
        <f>IFERROR(IF(A358=A357,((H357-H358)/(C357-C358)), ""), "null")</f>
        <v/>
      </c>
      <c r="F357" s="2">
        <v>5.795000076</v>
      </c>
      <c r="G357" s="2">
        <v>89.96199799</v>
      </c>
      <c r="H357" s="2">
        <v>91.4</v>
      </c>
      <c r="I357" s="2">
        <f>IFERROR(ROUND(H357,0),"null")</f>
        <v>91</v>
      </c>
      <c r="J357" s="2" t="str">
        <f>IF(AND(A358=A357,I357=100,I358=100),"full access", " ")</f>
        <v xml:space="preserve"> </v>
      </c>
      <c r="K357" s="2">
        <v>0</v>
      </c>
      <c r="L357" s="2">
        <v>8.6</v>
      </c>
      <c r="M357" s="2">
        <v>0</v>
      </c>
      <c r="N357" s="2" t="s">
        <v>45</v>
      </c>
      <c r="O357" s="2" t="str">
        <f>IFERROR(ROUND(N357,0),"null")</f>
        <v>null</v>
      </c>
      <c r="P357" s="2" t="str">
        <f>IF(AND(A357=A358,O357=100,O358=100),"full access"," ")</f>
        <v xml:space="preserve"> </v>
      </c>
      <c r="Q357" s="2" t="str">
        <f>IFERROR(IF(A358=A357,((N357-N358)/(C357-C358)),""),"null")</f>
        <v/>
      </c>
      <c r="R357" s="2" t="s">
        <v>45</v>
      </c>
      <c r="S357" s="2" t="s">
        <v>45</v>
      </c>
      <c r="T357" s="2" t="s">
        <v>45</v>
      </c>
      <c r="U357" s="2" t="s">
        <v>45</v>
      </c>
      <c r="V357" s="2" t="str">
        <f>IFERROR(ROUND(U357,0),"null")</f>
        <v>null</v>
      </c>
      <c r="W357" s="2" t="str">
        <f>IF(AND(A357=A358,V357=100,V358=100),"full access","")</f>
        <v/>
      </c>
      <c r="X357" s="2" t="str">
        <f>IFERROR(IF(A358=A357,((U357-U358)/(C357-C358)),""),"null")</f>
        <v/>
      </c>
      <c r="Y357" s="2" t="s">
        <v>45</v>
      </c>
      <c r="Z357" s="2" t="s">
        <v>45</v>
      </c>
      <c r="AA357" s="2" t="s">
        <v>45</v>
      </c>
      <c r="AB357" s="2" t="str">
        <f>IFERROR(IF(A358=A357, Q357-X357, ""), "null")</f>
        <v/>
      </c>
    </row>
    <row r="358" spans="1:28">
      <c r="A358" s="2" t="s">
        <v>230</v>
      </c>
      <c r="B358" s="2" t="str">
        <f>VLOOKUP(A358,Regions!A:B,2,0)</f>
        <v>Latin America &amp; Caribbean</v>
      </c>
      <c r="C358" s="2">
        <v>2015</v>
      </c>
      <c r="D358" s="2">
        <f>IF(A359=A358,ABS(C359-C358),"")</f>
        <v>3</v>
      </c>
      <c r="E358" s="2">
        <f>IFERROR(IF(A359=A358,((H358-H359)/(C358-C359)), ""), "null")</f>
        <v>0</v>
      </c>
      <c r="F358" s="2">
        <v>109.13500209999999</v>
      </c>
      <c r="G358" s="2">
        <v>50.963996889999997</v>
      </c>
      <c r="H358" s="2">
        <v>95.145219900000001</v>
      </c>
      <c r="I358" s="2">
        <f>IFERROR(ROUND(H358,0),"null")</f>
        <v>95</v>
      </c>
      <c r="J358" s="2" t="str">
        <f>IF(AND(A359=A358,I358=100,I359=100),"full access", " ")</f>
        <v xml:space="preserve"> </v>
      </c>
      <c r="K358" s="2">
        <v>0</v>
      </c>
      <c r="L358" s="2">
        <v>4.0700937030000004</v>
      </c>
      <c r="M358" s="2">
        <v>0.78468639699999998</v>
      </c>
      <c r="N358" s="2" t="s">
        <v>45</v>
      </c>
      <c r="O358" s="2" t="str">
        <f>IFERROR(ROUND(N358,0),"null")</f>
        <v>null</v>
      </c>
      <c r="P358" s="2" t="str">
        <f>IF(AND(A358=A359,O358=100,O359=100),"full access"," ")</f>
        <v xml:space="preserve"> </v>
      </c>
      <c r="Q358" s="2" t="str">
        <f>IFERROR(IF(A359=A358,((N358-N359)/(C358-C359)),""),"null")</f>
        <v>null</v>
      </c>
      <c r="R358" s="2" t="s">
        <v>45</v>
      </c>
      <c r="S358" s="2" t="s">
        <v>45</v>
      </c>
      <c r="T358" s="2" t="s">
        <v>45</v>
      </c>
      <c r="U358" s="2" t="s">
        <v>45</v>
      </c>
      <c r="V358" s="2" t="str">
        <f>IFERROR(ROUND(U358,0),"null")</f>
        <v>null</v>
      </c>
      <c r="W358" s="2" t="str">
        <f>IF(AND(A358=A359,V358=100,V359=100),"full access","")</f>
        <v/>
      </c>
      <c r="X358" s="2" t="str">
        <f>IFERROR(IF(A359=A358,((U358-U359)/(C358-C359)),""),"null")</f>
        <v>null</v>
      </c>
      <c r="Y358" s="2" t="s">
        <v>45</v>
      </c>
      <c r="Z358" s="2" t="s">
        <v>45</v>
      </c>
      <c r="AA358" s="2" t="s">
        <v>45</v>
      </c>
      <c r="AB358" s="2" t="str">
        <f>IFERROR(IF(A359=A358, Q358-X358, ""), "null")</f>
        <v>null</v>
      </c>
    </row>
    <row r="359" spans="1:28">
      <c r="A359" s="2" t="s">
        <v>230</v>
      </c>
      <c r="B359" s="2" t="str">
        <f>VLOOKUP(A359,Regions!A:B,2,0)</f>
        <v>Latin America &amp; Caribbean</v>
      </c>
      <c r="C359" s="2">
        <v>2018</v>
      </c>
      <c r="D359" s="2" t="str">
        <f>IF(A360=A359,ABS(C360-C359),"")</f>
        <v/>
      </c>
      <c r="E359" s="2" t="str">
        <f>IFERROR(IF(A360=A359,((H359-H360)/(C359-C360)), ""), "null")</f>
        <v/>
      </c>
      <c r="F359" s="2">
        <v>110.2099991</v>
      </c>
      <c r="G359" s="2">
        <v>52.197998050000002</v>
      </c>
      <c r="H359" s="2">
        <v>95.145219900000001</v>
      </c>
      <c r="I359" s="2">
        <f>IFERROR(ROUND(H359,0),"null")</f>
        <v>95</v>
      </c>
      <c r="J359" s="2" t="str">
        <f>IF(AND(A360=A359,I359=100,I360=100),"full access", " ")</f>
        <v xml:space="preserve"> </v>
      </c>
      <c r="K359" s="2">
        <v>0</v>
      </c>
      <c r="L359" s="2">
        <v>4.8547801000000002</v>
      </c>
      <c r="M359" s="2" t="s">
        <v>45</v>
      </c>
      <c r="N359" s="2" t="s">
        <v>45</v>
      </c>
      <c r="O359" s="2" t="str">
        <f>IFERROR(ROUND(N359,0),"null")</f>
        <v>null</v>
      </c>
      <c r="P359" s="2" t="str">
        <f>IF(AND(A359=A360,O359=100,O360=100),"full access"," ")</f>
        <v xml:space="preserve"> </v>
      </c>
      <c r="Q359" s="2" t="str">
        <f>IFERROR(IF(A360=A359,((N359-N360)/(C359-C360)),""),"null")</f>
        <v/>
      </c>
      <c r="R359" s="2" t="s">
        <v>45</v>
      </c>
      <c r="S359" s="2" t="s">
        <v>45</v>
      </c>
      <c r="T359" s="2" t="s">
        <v>45</v>
      </c>
      <c r="U359" s="2" t="s">
        <v>45</v>
      </c>
      <c r="V359" s="2" t="str">
        <f>IFERROR(ROUND(U359,0),"null")</f>
        <v>null</v>
      </c>
      <c r="W359" s="2" t="str">
        <f>IF(AND(A359=A360,V359=100,V360=100),"full access","")</f>
        <v/>
      </c>
      <c r="X359" s="2" t="str">
        <f>IFERROR(IF(A360=A359,((U359-U360)/(C359-C360)),""),"null")</f>
        <v/>
      </c>
      <c r="Y359" s="2" t="s">
        <v>45</v>
      </c>
      <c r="Z359" s="2" t="s">
        <v>45</v>
      </c>
      <c r="AA359" s="2" t="s">
        <v>45</v>
      </c>
      <c r="AB359" s="2" t="str">
        <f>IFERROR(IF(A360=A359, Q359-X359, ""), "null")</f>
        <v/>
      </c>
    </row>
    <row r="360" spans="1:28">
      <c r="A360" s="2" t="s">
        <v>231</v>
      </c>
      <c r="B360" s="2" t="str">
        <f>VLOOKUP(A360,Regions!A:B,2,0)</f>
        <v>East Asia &amp; Pacific</v>
      </c>
      <c r="C360" s="2">
        <v>2015</v>
      </c>
      <c r="D360" s="2">
        <f>IF(A361=A360,ABS(C361-C360),"")</f>
        <v>5</v>
      </c>
      <c r="E360" s="2">
        <f>IFERROR(IF(A361=A360,((H360-H361)/(C360-C361)), ""), "null")</f>
        <v>0.10326543799999968</v>
      </c>
      <c r="F360" s="2">
        <v>193.5099945</v>
      </c>
      <c r="G360" s="2">
        <v>18.914001460000001</v>
      </c>
      <c r="H360" s="2">
        <v>91.321397360000006</v>
      </c>
      <c r="I360" s="2">
        <f>IFERROR(ROUND(H360,0),"null")</f>
        <v>91</v>
      </c>
      <c r="J360" s="2" t="str">
        <f>IF(AND(A361=A360,I360=100,I361=100),"full access", " ")</f>
        <v xml:space="preserve"> </v>
      </c>
      <c r="K360" s="2">
        <v>6.4992812960000004</v>
      </c>
      <c r="L360" s="2">
        <v>1.929815904</v>
      </c>
      <c r="M360" s="2">
        <v>0.24950544129999999</v>
      </c>
      <c r="N360" s="2">
        <v>91.386415650000004</v>
      </c>
      <c r="O360" s="2">
        <f>IFERROR(ROUND(N360,0),"null")</f>
        <v>91</v>
      </c>
      <c r="P360" s="2" t="str">
        <f>IF(AND(A360=A361,O360=100,O361=100),"full access"," ")</f>
        <v xml:space="preserve"> </v>
      </c>
      <c r="Q360" s="2">
        <f>IFERROR(IF(A361=A360,((N360-N361)/(C360-C361)),""),"null")</f>
        <v>7.8781444000000533E-2</v>
      </c>
      <c r="R360" s="2">
        <v>6.194005024</v>
      </c>
      <c r="S360" s="2">
        <v>2.1485295340000001</v>
      </c>
      <c r="T360" s="2">
        <v>0.2710497959</v>
      </c>
      <c r="U360" s="2">
        <v>91.042648679999999</v>
      </c>
      <c r="V360" s="2">
        <f>IFERROR(ROUND(U360,0),"null")</f>
        <v>91</v>
      </c>
      <c r="W360" s="2" t="str">
        <f>IF(AND(A360=A361,V360=100,V361=100),"full access","")</f>
        <v/>
      </c>
      <c r="X360" s="2">
        <f>IFERROR(IF(A361=A360,((U360-U361)/(C360-C361)),""),"null")</f>
        <v>0.21170826400000067</v>
      </c>
      <c r="Y360" s="2">
        <v>7.8080270609999998</v>
      </c>
      <c r="Z360" s="2">
        <v>0.9921814015</v>
      </c>
      <c r="AA360" s="2">
        <v>0.15714285710000001</v>
      </c>
      <c r="AB360" s="2">
        <f>IFERROR(IF(A361=A360, Q360-X360, ""), "null")</f>
        <v>-0.13292682000000014</v>
      </c>
    </row>
    <row r="361" spans="1:28">
      <c r="A361" s="2" t="s">
        <v>231</v>
      </c>
      <c r="B361" s="2" t="str">
        <f>VLOOKUP(A361,Regions!A:B,2,0)</f>
        <v>East Asia &amp; Pacific</v>
      </c>
      <c r="C361" s="2">
        <v>2020</v>
      </c>
      <c r="D361" s="2" t="str">
        <f>IF(A362=A361,ABS(C362-C361),"")</f>
        <v/>
      </c>
      <c r="E361" s="2" t="str">
        <f>IFERROR(IF(A362=A361,((H361-H362)/(C361-C362)), ""), "null")</f>
        <v/>
      </c>
      <c r="F361" s="2">
        <v>198.4100037</v>
      </c>
      <c r="G361" s="2">
        <v>17.888999940000001</v>
      </c>
      <c r="H361" s="2">
        <v>91.837724550000004</v>
      </c>
      <c r="I361" s="2">
        <f>IFERROR(ROUND(H361,0),"null")</f>
        <v>92</v>
      </c>
      <c r="J361" s="2" t="str">
        <f>IF(AND(A362=A361,I361=100,I362=100),"full access", " ")</f>
        <v xml:space="preserve"> </v>
      </c>
      <c r="K361" s="2">
        <v>6.5208999519999997</v>
      </c>
      <c r="L361" s="2">
        <v>1.4186234280000001</v>
      </c>
      <c r="M361" s="2">
        <v>0.22275206789999999</v>
      </c>
      <c r="N361" s="2">
        <v>91.780322870000006</v>
      </c>
      <c r="O361" s="2">
        <f>IFERROR(ROUND(N361,0),"null")</f>
        <v>92</v>
      </c>
      <c r="P361" s="2" t="str">
        <f>IF(AND(A361=A362,O361=100,O362=100),"full access"," ")</f>
        <v xml:space="preserve"> </v>
      </c>
      <c r="Q361" s="2" t="str">
        <f>IFERROR(IF(A362=A361,((N361-N362)/(C361-C362)),""),"null")</f>
        <v/>
      </c>
      <c r="R361" s="2">
        <v>6.2207033389999999</v>
      </c>
      <c r="S361" s="2">
        <v>1.7276921599999999</v>
      </c>
      <c r="T361" s="2">
        <v>0.2712816327</v>
      </c>
      <c r="U361" s="2">
        <v>92.101190000000003</v>
      </c>
      <c r="V361" s="2">
        <f>IFERROR(ROUND(U361,0),"null")</f>
        <v>92</v>
      </c>
      <c r="W361" s="2" t="str">
        <f>IF(AND(A361=A362,V361=100,V362=100),"full access","")</f>
        <v/>
      </c>
      <c r="X361" s="2" t="str">
        <f>IFERROR(IF(A362=A361,((U361-U362)/(C361-C362)),""),"null")</f>
        <v/>
      </c>
      <c r="Y361" s="2">
        <v>7.8988100000000001</v>
      </c>
      <c r="Z361" s="2">
        <v>0</v>
      </c>
      <c r="AA361" s="2">
        <v>0</v>
      </c>
      <c r="AB361" s="2" t="str">
        <f>IFERROR(IF(A362=A361, Q361-X361, ""), "null")</f>
        <v/>
      </c>
    </row>
    <row r="362" spans="1:28">
      <c r="A362" s="2" t="s">
        <v>232</v>
      </c>
      <c r="B362" s="2" t="str">
        <f>VLOOKUP(A362,Regions!A:B,2,0)</f>
        <v>Europe &amp; Central Asia</v>
      </c>
      <c r="C362" s="2">
        <v>2015</v>
      </c>
      <c r="D362" s="2">
        <f>IF(A363=A362,ABS(C363-C362),"")</f>
        <v>5</v>
      </c>
      <c r="E362" s="2">
        <f>IFERROR(IF(A363=A362,((H362-H363)/(C362-C363)), ""), "null")</f>
        <v>0</v>
      </c>
      <c r="F362" s="2">
        <v>33.270000459999999</v>
      </c>
      <c r="G362" s="2">
        <v>96.738998409999994</v>
      </c>
      <c r="H362" s="2">
        <v>100</v>
      </c>
      <c r="I362" s="2">
        <f>IFERROR(ROUND(H362,0),"null")</f>
        <v>100</v>
      </c>
      <c r="J362" s="2" t="str">
        <f>IF(AND(A363=A362,I362=100,I363=100),"full access", " ")</f>
        <v>full access</v>
      </c>
      <c r="K362" s="2">
        <v>0</v>
      </c>
      <c r="L362" s="2">
        <v>0</v>
      </c>
      <c r="M362" s="2">
        <v>0</v>
      </c>
      <c r="N362" s="2" t="s">
        <v>45</v>
      </c>
      <c r="O362" s="2" t="str">
        <f>IFERROR(ROUND(N362,0),"null")</f>
        <v>null</v>
      </c>
      <c r="P362" s="2" t="str">
        <f>IF(AND(A362=A363,O362=100,O363=100),"full access"," ")</f>
        <v xml:space="preserve"> </v>
      </c>
      <c r="Q362" s="2" t="str">
        <f>IFERROR(IF(A363=A362,((N362-N363)/(C362-C363)),""),"null")</f>
        <v>null</v>
      </c>
      <c r="R362" s="2" t="s">
        <v>45</v>
      </c>
      <c r="S362" s="2" t="s">
        <v>45</v>
      </c>
      <c r="T362" s="2" t="s">
        <v>45</v>
      </c>
      <c r="U362" s="2" t="s">
        <v>45</v>
      </c>
      <c r="V362" s="2" t="str">
        <f>IFERROR(ROUND(U362,0),"null")</f>
        <v>null</v>
      </c>
      <c r="W362" s="2" t="str">
        <f>IF(AND(A362=A363,V362=100,V363=100),"full access","")</f>
        <v/>
      </c>
      <c r="X362" s="2" t="str">
        <f>IFERROR(IF(A363=A362,((U362-U363)/(C362-C363)),""),"null")</f>
        <v>null</v>
      </c>
      <c r="Y362" s="2" t="s">
        <v>45</v>
      </c>
      <c r="Z362" s="2" t="s">
        <v>45</v>
      </c>
      <c r="AA362" s="2" t="s">
        <v>45</v>
      </c>
      <c r="AB362" s="2" t="str">
        <f>IFERROR(IF(A363=A362, Q362-X362, ""), "null")</f>
        <v>null</v>
      </c>
    </row>
    <row r="363" spans="1:28">
      <c r="A363" s="2" t="s">
        <v>232</v>
      </c>
      <c r="B363" s="2" t="str">
        <f>VLOOKUP(A363,Regions!A:B,2,0)</f>
        <v>Europe &amp; Central Asia</v>
      </c>
      <c r="C363" s="2">
        <v>2020</v>
      </c>
      <c r="D363" s="2" t="str">
        <f>IF(A364=A363,ABS(C364-C363),"")</f>
        <v/>
      </c>
      <c r="E363" s="2" t="str">
        <f>IFERROR(IF(A364=A363,((H363-H364)/(C363-C364)), ""), "null")</f>
        <v/>
      </c>
      <c r="F363" s="2">
        <v>33.937999730000001</v>
      </c>
      <c r="G363" s="2">
        <v>97.499000550000005</v>
      </c>
      <c r="H363" s="2">
        <v>100</v>
      </c>
      <c r="I363" s="2">
        <f>IFERROR(ROUND(H363,0),"null")</f>
        <v>100</v>
      </c>
      <c r="J363" s="2" t="str">
        <f>IF(AND(A364=A363,I363=100,I364=100),"full access", " ")</f>
        <v xml:space="preserve"> </v>
      </c>
      <c r="K363" s="2">
        <v>0</v>
      </c>
      <c r="L363" s="2">
        <v>0</v>
      </c>
      <c r="M363" s="2">
        <v>0</v>
      </c>
      <c r="N363" s="2" t="s">
        <v>45</v>
      </c>
      <c r="O363" s="2" t="str">
        <f>IFERROR(ROUND(N363,0),"null")</f>
        <v>null</v>
      </c>
      <c r="P363" s="2" t="str">
        <f>IF(AND(A363=A364,O363=100,O364=100),"full access"," ")</f>
        <v xml:space="preserve"> </v>
      </c>
      <c r="Q363" s="2" t="str">
        <f>IFERROR(IF(A364=A363,((N363-N364)/(C363-C364)),""),"null")</f>
        <v/>
      </c>
      <c r="R363" s="2" t="s">
        <v>45</v>
      </c>
      <c r="S363" s="2" t="s">
        <v>45</v>
      </c>
      <c r="T363" s="2" t="s">
        <v>45</v>
      </c>
      <c r="U363" s="2" t="s">
        <v>45</v>
      </c>
      <c r="V363" s="2" t="str">
        <f>IFERROR(ROUND(U363,0),"null")</f>
        <v>null</v>
      </c>
      <c r="W363" s="2" t="str">
        <f>IF(AND(A363=A364,V363=100,V364=100),"full access","")</f>
        <v/>
      </c>
      <c r="X363" s="2" t="str">
        <f>IFERROR(IF(A364=A363,((U363-U364)/(C363-C364)),""),"null")</f>
        <v/>
      </c>
      <c r="Y363" s="2" t="s">
        <v>45</v>
      </c>
      <c r="Z363" s="2" t="s">
        <v>45</v>
      </c>
      <c r="AA363" s="2" t="s">
        <v>45</v>
      </c>
      <c r="AB363" s="2" t="str">
        <f>IFERROR(IF(A364=A363, Q363-X363, ""), "null")</f>
        <v/>
      </c>
    </row>
    <row r="364" spans="1:28">
      <c r="A364" s="2" t="s">
        <v>233</v>
      </c>
      <c r="B364" s="2" t="str">
        <f>VLOOKUP(A364,Regions!A:B,2,0)</f>
        <v>Sub-Saharan Africa</v>
      </c>
      <c r="C364" s="2">
        <v>2015</v>
      </c>
      <c r="D364" s="2">
        <f>IF(A365=A364,ABS(C365-C364),"")</f>
        <v>5</v>
      </c>
      <c r="E364" s="2">
        <f>IFERROR(IF(A365=A364,((H364-H365)/(C364-C365)), ""), "null")</f>
        <v>0.22044507399999985</v>
      </c>
      <c r="F364" s="2">
        <v>199.43899540000001</v>
      </c>
      <c r="G364" s="2">
        <v>70.174003600000006</v>
      </c>
      <c r="H364" s="2">
        <v>77.124229790000001</v>
      </c>
      <c r="I364" s="2">
        <f>IFERROR(ROUND(H364,0),"null")</f>
        <v>77</v>
      </c>
      <c r="J364" s="2" t="str">
        <f>IF(AND(A365=A364,I364=100,I365=100),"full access", " ")</f>
        <v xml:space="preserve"> </v>
      </c>
      <c r="K364" s="2">
        <v>18.34430682</v>
      </c>
      <c r="L364" s="2">
        <v>1.8595771210000001</v>
      </c>
      <c r="M364" s="2">
        <v>2.6718862689999998</v>
      </c>
      <c r="N364" s="2">
        <v>71.282716640000004</v>
      </c>
      <c r="O364" s="2">
        <f>IFERROR(ROUND(N364,0),"null")</f>
        <v>71</v>
      </c>
      <c r="P364" s="2" t="str">
        <f>IF(AND(A364=A365,O364=100,O365=100),"full access"," ")</f>
        <v xml:space="preserve"> </v>
      </c>
      <c r="Q364" s="2">
        <f>IFERROR(IF(A365=A364,((N364-N365)/(C364-C365)),""),"null")</f>
        <v>0.6035795699999994</v>
      </c>
      <c r="R364" s="2">
        <v>17.07304495</v>
      </c>
      <c r="S364" s="2">
        <v>4.1184792559999996</v>
      </c>
      <c r="T364" s="2">
        <v>7.5257591550000003</v>
      </c>
      <c r="U364" s="2">
        <v>79.607040999999995</v>
      </c>
      <c r="V364" s="2">
        <f>IFERROR(ROUND(U364,0),"null")</f>
        <v>80</v>
      </c>
      <c r="W364" s="2" t="str">
        <f>IF(AND(A364=A365,V364=100,V365=100),"full access","")</f>
        <v/>
      </c>
      <c r="X364" s="2">
        <f>IFERROR(IF(A365=A364,((U364-U365)/(C364-C365)),""),"null")</f>
        <v>-5.2996199999995495E-3</v>
      </c>
      <c r="Y364" s="2">
        <v>18.884629660000002</v>
      </c>
      <c r="Z364" s="2">
        <v>0.89948056340000004</v>
      </c>
      <c r="AA364" s="2">
        <v>0.60884877739999999</v>
      </c>
      <c r="AB364" s="2">
        <f>IFERROR(IF(A365=A364, Q364-X364, ""), "null")</f>
        <v>0.6088791899999989</v>
      </c>
    </row>
    <row r="365" spans="1:28">
      <c r="A365" s="2" t="s">
        <v>233</v>
      </c>
      <c r="B365" s="2" t="str">
        <f>VLOOKUP(A365,Regions!A:B,2,0)</f>
        <v>Sub-Saharan Africa</v>
      </c>
      <c r="C365" s="2">
        <v>2020</v>
      </c>
      <c r="D365" s="2" t="str">
        <f>IF(A366=A365,ABS(C366-C365),"")</f>
        <v/>
      </c>
      <c r="E365" s="2" t="str">
        <f>IFERROR(IF(A366=A365,((H365-H366)/(C365-C366)), ""), "null")</f>
        <v/>
      </c>
      <c r="F365" s="2">
        <v>219.16099550000001</v>
      </c>
      <c r="G365" s="2">
        <v>74.354003910000003</v>
      </c>
      <c r="H365" s="2">
        <v>78.22645516</v>
      </c>
      <c r="I365" s="2">
        <f>IFERROR(ROUND(H365,0),"null")</f>
        <v>78</v>
      </c>
      <c r="J365" s="2" t="str">
        <f>IF(AND(A366=A365,I365=100,I366=100),"full access", " ")</f>
        <v xml:space="preserve"> </v>
      </c>
      <c r="K365" s="2">
        <v>20.237982980000002</v>
      </c>
      <c r="L365" s="2">
        <v>0.44351992839999999</v>
      </c>
      <c r="M365" s="2">
        <v>1.0920419299999999</v>
      </c>
      <c r="N365" s="2">
        <v>74.300614490000001</v>
      </c>
      <c r="O365" s="2">
        <f>IFERROR(ROUND(N365,0),"null")</f>
        <v>74</v>
      </c>
      <c r="P365" s="2" t="str">
        <f>IF(AND(A365=A366,O365=100,O366=100),"full access"," ")</f>
        <v xml:space="preserve"> </v>
      </c>
      <c r="Q365" s="2" t="str">
        <f>IFERROR(IF(A366=A365,((N365-N366)/(C365-C366)),""),"null")</f>
        <v/>
      </c>
      <c r="R365" s="2">
        <v>19.711842579999999</v>
      </c>
      <c r="S365" s="2">
        <v>1.7294057039999999</v>
      </c>
      <c r="T365" s="2">
        <v>4.2581372279999998</v>
      </c>
      <c r="U365" s="2">
        <v>79.580542899999998</v>
      </c>
      <c r="V365" s="2">
        <f>IFERROR(ROUND(U365,0),"null")</f>
        <v>80</v>
      </c>
      <c r="W365" s="2" t="str">
        <f>IF(AND(A365=A366,V365=100,V366=100),"full access","")</f>
        <v/>
      </c>
      <c r="X365" s="2" t="str">
        <f>IFERROR(IF(A366=A365,((U365-U366)/(C365-C366)),""),"null")</f>
        <v/>
      </c>
      <c r="Y365" s="2">
        <v>20.419457099999999</v>
      </c>
      <c r="Z365" s="2">
        <v>0</v>
      </c>
      <c r="AA365" s="2">
        <v>0</v>
      </c>
      <c r="AB365" s="2" t="str">
        <f>IFERROR(IF(A366=A365, Q365-X365, ""), "null")</f>
        <v/>
      </c>
    </row>
    <row r="366" spans="1:28">
      <c r="A366" s="2" t="s">
        <v>234</v>
      </c>
      <c r="B366" s="2" t="str">
        <f>VLOOKUP(A366,Regions!A:B,2,0)</f>
        <v>Europe &amp; Central Asia</v>
      </c>
      <c r="C366" s="2">
        <v>2015</v>
      </c>
      <c r="D366" s="2">
        <f>IF(A367=A366,ABS(C367-C366),"")</f>
        <v>5</v>
      </c>
      <c r="E366" s="2">
        <f>IFERROR(IF(A367=A366,((H366-H367)/(C366-C367)), ""), "null")</f>
        <v>9.0394724000000787E-2</v>
      </c>
      <c r="F366" s="2">
        <v>31717.675780000001</v>
      </c>
      <c r="G366" s="2">
        <v>83.180000309999997</v>
      </c>
      <c r="H366" s="2">
        <v>99.548026379999996</v>
      </c>
      <c r="I366" s="2">
        <f>IFERROR(ROUND(H366,0),"null")</f>
        <v>100</v>
      </c>
      <c r="J366" s="2" t="str">
        <f>IF(AND(A367=A366,I366=100,I367=100),"full access", " ")</f>
        <v>full access</v>
      </c>
      <c r="K366" s="2">
        <v>0</v>
      </c>
      <c r="L366" s="2">
        <v>0.45197361660000002</v>
      </c>
      <c r="M366" s="2">
        <v>0</v>
      </c>
      <c r="N366" s="2" t="s">
        <v>45</v>
      </c>
      <c r="O366" s="2" t="str">
        <f>IFERROR(ROUND(N366,0),"null")</f>
        <v>null</v>
      </c>
      <c r="P366" s="2" t="str">
        <f>IF(AND(A366=A367,O366=100,O367=100),"full access"," ")</f>
        <v xml:space="preserve"> </v>
      </c>
      <c r="Q366" s="2" t="str">
        <f>IFERROR(IF(A367=A366,((N366-N367)/(C366-C367)),""),"null")</f>
        <v>null</v>
      </c>
      <c r="R366" s="2" t="s">
        <v>45</v>
      </c>
      <c r="S366" s="2" t="s">
        <v>45</v>
      </c>
      <c r="T366" s="2" t="s">
        <v>45</v>
      </c>
      <c r="U366" s="2" t="s">
        <v>45</v>
      </c>
      <c r="V366" s="2" t="str">
        <f>IFERROR(ROUND(U366,0),"null")</f>
        <v>null</v>
      </c>
      <c r="W366" s="2" t="str">
        <f>IF(AND(A366=A367,V366=100,V367=100),"full access","")</f>
        <v/>
      </c>
      <c r="X366" s="2" t="str">
        <f>IFERROR(IF(A367=A366,((U366-U367)/(C366-C367)),""),"null")</f>
        <v>null</v>
      </c>
      <c r="Y366" s="2" t="s">
        <v>45</v>
      </c>
      <c r="Z366" s="2" t="s">
        <v>45</v>
      </c>
      <c r="AA366" s="2" t="s">
        <v>45</v>
      </c>
      <c r="AB366" s="2" t="str">
        <f>IFERROR(IF(A367=A366, Q366-X366, ""), "null")</f>
        <v>null</v>
      </c>
    </row>
    <row r="367" spans="1:28">
      <c r="A367" s="2" t="s">
        <v>234</v>
      </c>
      <c r="B367" s="2" t="str">
        <f>VLOOKUP(A367,Regions!A:B,2,0)</f>
        <v>Europe &amp; Central Asia</v>
      </c>
      <c r="C367" s="2">
        <v>2020</v>
      </c>
      <c r="D367" s="2" t="str">
        <f>IF(A368=A367,ABS(C368-C367),"")</f>
        <v/>
      </c>
      <c r="E367" s="2" t="str">
        <f>IFERROR(IF(A368=A367,((H367-H368)/(C367-C368)), ""), "null")</f>
        <v/>
      </c>
      <c r="F367" s="2">
        <v>34813.867189999997</v>
      </c>
      <c r="G367" s="2">
        <v>84.287002560000005</v>
      </c>
      <c r="H367" s="2">
        <v>100</v>
      </c>
      <c r="I367" s="2">
        <f>IFERROR(ROUND(H367,0),"null")</f>
        <v>100</v>
      </c>
      <c r="J367" s="2" t="str">
        <f>IF(AND(A368=A367,I367=100,I368=100),"full access", " ")</f>
        <v xml:space="preserve"> </v>
      </c>
      <c r="K367" s="2">
        <v>0</v>
      </c>
      <c r="L367" s="2">
        <v>0</v>
      </c>
      <c r="M367" s="2">
        <v>0</v>
      </c>
      <c r="N367" s="2" t="s">
        <v>45</v>
      </c>
      <c r="O367" s="2" t="str">
        <f>IFERROR(ROUND(N367,0),"null")</f>
        <v>null</v>
      </c>
      <c r="P367" s="2" t="str">
        <f>IF(AND(A367=A368,O367=100,O368=100),"full access"," ")</f>
        <v xml:space="preserve"> </v>
      </c>
      <c r="Q367" s="2" t="str">
        <f>IFERROR(IF(A368=A367,((N367-N368)/(C367-C368)),""),"null")</f>
        <v/>
      </c>
      <c r="R367" s="2" t="s">
        <v>45</v>
      </c>
      <c r="S367" s="2" t="s">
        <v>45</v>
      </c>
      <c r="T367" s="2" t="s">
        <v>45</v>
      </c>
      <c r="U367" s="2" t="s">
        <v>45</v>
      </c>
      <c r="V367" s="2" t="str">
        <f>IFERROR(ROUND(U367,0),"null")</f>
        <v>null</v>
      </c>
      <c r="W367" s="2" t="str">
        <f>IF(AND(A367=A368,V367=100,V368=100),"full access","")</f>
        <v/>
      </c>
      <c r="X367" s="2" t="str">
        <f>IFERROR(IF(A368=A367,((U367-U368)/(C367-C368)),""),"null")</f>
        <v/>
      </c>
      <c r="Y367" s="2" t="s">
        <v>45</v>
      </c>
      <c r="Z367" s="2" t="s">
        <v>45</v>
      </c>
      <c r="AA367" s="2" t="s">
        <v>45</v>
      </c>
      <c r="AB367" s="2" t="str">
        <f>IFERROR(IF(A368=A367, Q367-X367, ""), "null")</f>
        <v/>
      </c>
    </row>
    <row r="368" spans="1:28">
      <c r="A368" s="2" t="s">
        <v>235</v>
      </c>
      <c r="B368" s="2" t="str">
        <f>VLOOKUP(A368,Regions!A:B,2,0)</f>
        <v>Sub-Saharan Africa</v>
      </c>
      <c r="C368" s="2">
        <v>2015</v>
      </c>
      <c r="D368" s="2">
        <f>IF(A369=A368,ABS(C369-C368),"")</f>
        <v>5</v>
      </c>
      <c r="E368" s="2">
        <f>IFERROR(IF(A369=A368,((H368-H369)/(C368-C369)), ""), "null")</f>
        <v>1.2606288339999991</v>
      </c>
      <c r="F368" s="2">
        <v>14578.450199999999</v>
      </c>
      <c r="G368" s="2">
        <v>45.86200333</v>
      </c>
      <c r="H368" s="2">
        <v>78.602093620000005</v>
      </c>
      <c r="I368" s="2">
        <f>IFERROR(ROUND(H368,0),"null")</f>
        <v>79</v>
      </c>
      <c r="J368" s="2" t="str">
        <f>IF(AND(A369=A368,I368=100,I369=100),"full access", " ")</f>
        <v xml:space="preserve"> </v>
      </c>
      <c r="K368" s="2">
        <v>3.3921456349999999</v>
      </c>
      <c r="L368" s="2">
        <v>17.594913179999999</v>
      </c>
      <c r="M368" s="2">
        <v>0.41084756459999999</v>
      </c>
      <c r="N368" s="2">
        <v>65.941201559999996</v>
      </c>
      <c r="O368" s="2">
        <f>IFERROR(ROUND(N368,0),"null")</f>
        <v>66</v>
      </c>
      <c r="P368" s="2" t="str">
        <f>IF(AND(A368=A369,O368=100,O369=100),"full access"," ")</f>
        <v xml:space="preserve"> </v>
      </c>
      <c r="Q368" s="2">
        <f>IFERROR(IF(A369=A368,((N368-N369)/(C368-C369)),""),"null")</f>
        <v>1.8603453279999997</v>
      </c>
      <c r="R368" s="2">
        <v>5.2534118540000003</v>
      </c>
      <c r="S368" s="2">
        <v>28.079192549999998</v>
      </c>
      <c r="T368" s="2">
        <v>0.72619403689999995</v>
      </c>
      <c r="U368" s="2">
        <v>93.547697760000005</v>
      </c>
      <c r="V368" s="2">
        <f>IFERROR(ROUND(U368,0),"null")</f>
        <v>94</v>
      </c>
      <c r="W368" s="2" t="str">
        <f>IF(AND(A368=A369,V368=100,V369=100),"full access","")</f>
        <v/>
      </c>
      <c r="X368" s="2">
        <f>IFERROR(IF(A369=A368,((U368-U369)/(C368-C369)),""),"null")</f>
        <v>0.35480063599999878</v>
      </c>
      <c r="Y368" s="2">
        <v>1.195005973</v>
      </c>
      <c r="Z368" s="2">
        <v>5.2187007940000001</v>
      </c>
      <c r="AA368" s="2">
        <v>3.8595473790000001E-2</v>
      </c>
      <c r="AB368" s="2">
        <f>IFERROR(IF(A369=A368, Q368-X368, ""), "null")</f>
        <v>1.5055446920000009</v>
      </c>
    </row>
    <row r="369" spans="1:28">
      <c r="A369" s="2" t="s">
        <v>235</v>
      </c>
      <c r="B369" s="2" t="str">
        <f>VLOOKUP(A369,Regions!A:B,2,0)</f>
        <v>Sub-Saharan Africa</v>
      </c>
      <c r="C369" s="2">
        <v>2020</v>
      </c>
      <c r="D369" s="2" t="str">
        <f>IF(A370=A369,ABS(C370-C369),"")</f>
        <v/>
      </c>
      <c r="E369" s="2" t="str">
        <f>IFERROR(IF(A370=A369,((H369-H370)/(C369-C370)), ""), "null")</f>
        <v/>
      </c>
      <c r="F369" s="2">
        <v>16743.929690000001</v>
      </c>
      <c r="G369" s="2">
        <v>48.122001650000001</v>
      </c>
      <c r="H369" s="2">
        <v>84.905237790000001</v>
      </c>
      <c r="I369" s="2">
        <f>IFERROR(ROUND(H369,0),"null")</f>
        <v>85</v>
      </c>
      <c r="J369" s="2" t="str">
        <f>IF(AND(A370=A369,I369=100,I370=100),"full access", " ")</f>
        <v xml:space="preserve"> </v>
      </c>
      <c r="K369" s="2">
        <v>2.3872175090000001</v>
      </c>
      <c r="L369" s="2">
        <v>12.60781566</v>
      </c>
      <c r="M369" s="2">
        <v>9.9729040419999998E-2</v>
      </c>
      <c r="N369" s="2">
        <v>75.242928199999994</v>
      </c>
      <c r="O369" s="2">
        <f>IFERROR(ROUND(N369,0),"null")</f>
        <v>75</v>
      </c>
      <c r="P369" s="2" t="str">
        <f>IF(AND(A369=A370,O369=100,O370=100),"full access"," ")</f>
        <v xml:space="preserve"> </v>
      </c>
      <c r="Q369" s="2" t="str">
        <f>IFERROR(IF(A370=A369,((N369-N370)/(C369-C370)),""),"null")</f>
        <v/>
      </c>
      <c r="R369" s="2">
        <v>4.052382433</v>
      </c>
      <c r="S369" s="2">
        <v>20.512451739999999</v>
      </c>
      <c r="T369" s="2">
        <v>0.1922376314</v>
      </c>
      <c r="U369" s="2">
        <v>95.321700939999999</v>
      </c>
      <c r="V369" s="2">
        <f>IFERROR(ROUND(U369,0),"null")</f>
        <v>95</v>
      </c>
      <c r="W369" s="2" t="str">
        <f>IF(AND(A369=A370,V369=100,V370=100),"full access","")</f>
        <v/>
      </c>
      <c r="X369" s="2" t="str">
        <f>IFERROR(IF(A370=A369,((U369-U370)/(C369-C370)),""),"null")</f>
        <v/>
      </c>
      <c r="Y369" s="2">
        <v>0.59208365669999996</v>
      </c>
      <c r="Z369" s="2">
        <v>4.0862154019999997</v>
      </c>
      <c r="AA369" s="2">
        <v>0</v>
      </c>
      <c r="AB369" s="2" t="str">
        <f>IFERROR(IF(A370=A369, Q369-X369, ""), "null")</f>
        <v/>
      </c>
    </row>
    <row r="370" spans="1:28">
      <c r="A370" s="2" t="s">
        <v>236</v>
      </c>
      <c r="B370" s="2" t="str">
        <f>VLOOKUP(A370,Regions!A:B,2,0)</f>
        <v>Europe &amp; Central Asia</v>
      </c>
      <c r="C370" s="2">
        <v>2015</v>
      </c>
      <c r="D370" s="2">
        <f>IF(A371=A370,ABS(C371-C370),"")</f>
        <v>5</v>
      </c>
      <c r="E370" s="2">
        <f>IFERROR(IF(A371=A370,((H370-H371)/(C370-C371)), ""), "null")</f>
        <v>0.38181440399999927</v>
      </c>
      <c r="F370" s="2">
        <v>8876.7773440000001</v>
      </c>
      <c r="G370" s="2">
        <v>55.695999149999999</v>
      </c>
      <c r="H370" s="2">
        <v>93.386457300000004</v>
      </c>
      <c r="I370" s="2">
        <f>IFERROR(ROUND(H370,0),"null")</f>
        <v>93</v>
      </c>
      <c r="J370" s="2" t="str">
        <f>IF(AND(A371=A370,I370=100,I371=100),"full access", " ")</f>
        <v xml:space="preserve"> </v>
      </c>
      <c r="K370" s="2">
        <v>6.1120960520000001</v>
      </c>
      <c r="L370" s="2">
        <v>0.48354363439999998</v>
      </c>
      <c r="M370" s="2">
        <v>1.7903015790000001E-2</v>
      </c>
      <c r="N370" s="2">
        <v>94.723529049999996</v>
      </c>
      <c r="O370" s="2">
        <f>IFERROR(ROUND(N370,0),"null")</f>
        <v>95</v>
      </c>
      <c r="P370" s="2" t="str">
        <f>IF(AND(A370=A371,O370=100,O371=100),"full access"," ")</f>
        <v xml:space="preserve"> </v>
      </c>
      <c r="Q370" s="2">
        <f>IFERROR(IF(A371=A370,((N370-N371)/(C370-C371)),""),"null")</f>
        <v>0.22428914000000191</v>
      </c>
      <c r="R370" s="2">
        <v>4.6004382010000002</v>
      </c>
      <c r="S370" s="2">
        <v>0.63562326859999996</v>
      </c>
      <c r="T370" s="2">
        <v>4.0409477999999999E-2</v>
      </c>
      <c r="U370" s="2">
        <v>92.322868690000007</v>
      </c>
      <c r="V370" s="2">
        <f>IFERROR(ROUND(U370,0),"null")</f>
        <v>92</v>
      </c>
      <c r="W370" s="2" t="str">
        <f>IF(AND(A370=A371,V370=100,V371=100),"full access","")</f>
        <v/>
      </c>
      <c r="X370" s="2">
        <f>IFERROR(IF(A371=A370,((U370-U371)/(C370-C371)),""),"null")</f>
        <v>0.50974023999999929</v>
      </c>
      <c r="Y370" s="2">
        <v>7.3145611089999996</v>
      </c>
      <c r="Z370" s="2">
        <v>0.36257019709999999</v>
      </c>
      <c r="AA370" s="2">
        <v>0</v>
      </c>
      <c r="AB370" s="2">
        <f>IFERROR(IF(A371=A370, Q370-X370, ""), "null")</f>
        <v>-0.2854510999999974</v>
      </c>
    </row>
    <row r="371" spans="1:28">
      <c r="A371" s="2" t="s">
        <v>236</v>
      </c>
      <c r="B371" s="2" t="str">
        <f>VLOOKUP(A371,Regions!A:B,2,0)</f>
        <v>Europe &amp; Central Asia</v>
      </c>
      <c r="C371" s="2">
        <v>2020</v>
      </c>
      <c r="D371" s="2" t="str">
        <f>IF(A372=A371,ABS(C372-C371),"")</f>
        <v/>
      </c>
      <c r="E371" s="2" t="str">
        <f>IFERROR(IF(A372=A371,((H371-H372)/(C371-C372)), ""), "null")</f>
        <v/>
      </c>
      <c r="F371" s="2">
        <v>8737.3701170000004</v>
      </c>
      <c r="G371" s="2">
        <v>56.445999149999999</v>
      </c>
      <c r="H371" s="2">
        <v>95.29552932</v>
      </c>
      <c r="I371" s="2">
        <f>IFERROR(ROUND(H371,0),"null")</f>
        <v>95</v>
      </c>
      <c r="J371" s="2" t="str">
        <f>IF(AND(A372=A371,I371=100,I372=100),"full access", " ")</f>
        <v xml:space="preserve"> </v>
      </c>
      <c r="K371" s="2">
        <v>4.244199279</v>
      </c>
      <c r="L371" s="2">
        <v>0.44372047780000001</v>
      </c>
      <c r="M371" s="2">
        <v>1.6550926470000001E-2</v>
      </c>
      <c r="N371" s="2">
        <v>95.844974750000006</v>
      </c>
      <c r="O371" s="2">
        <f>IFERROR(ROUND(N371,0),"null")</f>
        <v>96</v>
      </c>
      <c r="P371" s="2" t="str">
        <f>IF(AND(A371=A372,O371=100,O372=100),"full access"," ")</f>
        <v xml:space="preserve"> </v>
      </c>
      <c r="Q371" s="2" t="str">
        <f>IFERROR(IF(A372=A371,((N371-N372)/(C371-C372)),""),"null")</f>
        <v/>
      </c>
      <c r="R371" s="2">
        <v>3.545864028</v>
      </c>
      <c r="S371" s="2">
        <v>0.57116028659999996</v>
      </c>
      <c r="T371" s="2">
        <v>3.8000931410000001E-2</v>
      </c>
      <c r="U371" s="2">
        <v>94.871569890000004</v>
      </c>
      <c r="V371" s="2">
        <f>IFERROR(ROUND(U371,0),"null")</f>
        <v>95</v>
      </c>
      <c r="W371" s="2" t="str">
        <f>IF(AND(A371=A372,V371=100,V372=100),"full access","")</f>
        <v/>
      </c>
      <c r="X371" s="2" t="str">
        <f>IFERROR(IF(A372=A371,((U371-U372)/(C371-C372)),""),"null")</f>
        <v/>
      </c>
      <c r="Y371" s="2">
        <v>4.7830378649999998</v>
      </c>
      <c r="Z371" s="2">
        <v>0.3453922445</v>
      </c>
      <c r="AA371" s="2">
        <v>0</v>
      </c>
      <c r="AB371" s="2" t="str">
        <f>IFERROR(IF(A372=A371, Q371-X371, ""), "null")</f>
        <v/>
      </c>
    </row>
    <row r="372" spans="1:28">
      <c r="A372" s="2" t="s">
        <v>237</v>
      </c>
      <c r="B372" s="2" t="str">
        <f>VLOOKUP(A372,Regions!A:B,2,0)</f>
        <v>East Asia &amp; Pacific</v>
      </c>
      <c r="C372" s="2">
        <v>2015</v>
      </c>
      <c r="D372" s="2">
        <f>IF(A373=A372,ABS(C373-C372),"")</f>
        <v>4</v>
      </c>
      <c r="E372" s="2">
        <f>IFERROR(IF(A373=A372,((H372-H373)/(C372-C373)), ""), "null")</f>
        <v>0.15021384750000166</v>
      </c>
      <c r="F372" s="2">
        <v>94.981002810000007</v>
      </c>
      <c r="G372" s="2">
        <v>55.400001529999997</v>
      </c>
      <c r="H372" s="2">
        <v>96.250891499999994</v>
      </c>
      <c r="I372" s="2">
        <f>IFERROR(ROUND(H372,0),"null")</f>
        <v>96</v>
      </c>
      <c r="J372" s="2" t="str">
        <f>IF(AND(A373=A372,I372=100,I373=100),"full access", " ")</f>
        <v xml:space="preserve"> </v>
      </c>
      <c r="K372" s="2">
        <v>0</v>
      </c>
      <c r="L372" s="2">
        <v>0</v>
      </c>
      <c r="M372" s="2">
        <v>3.7491085019999999</v>
      </c>
      <c r="N372" s="2" t="s">
        <v>45</v>
      </c>
      <c r="O372" s="2" t="str">
        <f>IFERROR(ROUND(N372,0),"null")</f>
        <v>null</v>
      </c>
      <c r="P372" s="2" t="str">
        <f>IF(AND(A372=A373,O372=100,O373=100),"full access"," ")</f>
        <v xml:space="preserve"> </v>
      </c>
      <c r="Q372" s="2" t="str">
        <f>IFERROR(IF(A373=A372,((N372-N373)/(C372-C373)),""),"null")</f>
        <v>null</v>
      </c>
      <c r="R372" s="2" t="s">
        <v>45</v>
      </c>
      <c r="S372" s="2" t="s">
        <v>45</v>
      </c>
      <c r="T372" s="2" t="s">
        <v>45</v>
      </c>
      <c r="U372" s="2" t="s">
        <v>45</v>
      </c>
      <c r="V372" s="2" t="str">
        <f>IFERROR(ROUND(U372,0),"null")</f>
        <v>null</v>
      </c>
      <c r="W372" s="2" t="str">
        <f>IF(AND(A372=A373,V372=100,V373=100),"full access","")</f>
        <v/>
      </c>
      <c r="X372" s="2" t="str">
        <f>IFERROR(IF(A373=A372,((U372-U373)/(C372-C373)),""),"null")</f>
        <v>null</v>
      </c>
      <c r="Y372" s="2" t="s">
        <v>45</v>
      </c>
      <c r="Z372" s="2" t="s">
        <v>45</v>
      </c>
      <c r="AA372" s="2" t="s">
        <v>45</v>
      </c>
      <c r="AB372" s="2" t="str">
        <f>IFERROR(IF(A373=A372, Q372-X372, ""), "null")</f>
        <v>null</v>
      </c>
    </row>
    <row r="373" spans="1:28">
      <c r="A373" s="2" t="s">
        <v>237</v>
      </c>
      <c r="B373" s="2" t="str">
        <f>VLOOKUP(A373,Regions!A:B,2,0)</f>
        <v>East Asia &amp; Pacific</v>
      </c>
      <c r="C373" s="2">
        <v>2019</v>
      </c>
      <c r="D373" s="2" t="str">
        <f>IF(A374=A373,ABS(C374-C373),"")</f>
        <v/>
      </c>
      <c r="E373" s="2" t="str">
        <f>IFERROR(IF(A374=A373,((H373-H374)/(C373-C374)), ""), "null")</f>
        <v/>
      </c>
      <c r="F373" s="2">
        <v>97.740997309999997</v>
      </c>
      <c r="G373" s="2">
        <v>57.119003300000003</v>
      </c>
      <c r="H373" s="2">
        <v>96.851746890000001</v>
      </c>
      <c r="I373" s="2">
        <f>IFERROR(ROUND(H373,0),"null")</f>
        <v>97</v>
      </c>
      <c r="J373" s="2" t="str">
        <f>IF(AND(A374=A373,I373=100,I374=100),"full access", " ")</f>
        <v xml:space="preserve"> </v>
      </c>
      <c r="K373" s="2">
        <v>0</v>
      </c>
      <c r="L373" s="2">
        <v>3.1482531090000001</v>
      </c>
      <c r="M373" s="2" t="s">
        <v>45</v>
      </c>
      <c r="N373" s="2" t="s">
        <v>45</v>
      </c>
      <c r="O373" s="2" t="str">
        <f>IFERROR(ROUND(N373,0),"null")</f>
        <v>null</v>
      </c>
      <c r="P373" s="2" t="str">
        <f>IF(AND(A373=A374,O373=100,O374=100),"full access"," ")</f>
        <v xml:space="preserve"> </v>
      </c>
      <c r="Q373" s="2" t="str">
        <f>IFERROR(IF(A374=A373,((N373-N374)/(C373-C374)),""),"null")</f>
        <v/>
      </c>
      <c r="R373" s="2" t="s">
        <v>45</v>
      </c>
      <c r="S373" s="2" t="s">
        <v>45</v>
      </c>
      <c r="T373" s="2" t="s">
        <v>45</v>
      </c>
      <c r="U373" s="2" t="s">
        <v>45</v>
      </c>
      <c r="V373" s="2" t="str">
        <f>IFERROR(ROUND(U373,0),"null")</f>
        <v>null</v>
      </c>
      <c r="W373" s="2" t="str">
        <f>IF(AND(A373=A374,V373=100,V374=100),"full access","")</f>
        <v/>
      </c>
      <c r="X373" s="2" t="str">
        <f>IFERROR(IF(A374=A373,((U373-U374)/(C373-C374)),""),"null")</f>
        <v/>
      </c>
      <c r="Y373" s="2" t="s">
        <v>45</v>
      </c>
      <c r="Z373" s="2" t="s">
        <v>45</v>
      </c>
      <c r="AA373" s="2" t="s">
        <v>45</v>
      </c>
      <c r="AB373" s="2" t="str">
        <f>IFERROR(IF(A374=A373, Q373-X373, ""), "null")</f>
        <v/>
      </c>
    </row>
    <row r="374" spans="1:28">
      <c r="A374" s="2" t="s">
        <v>238</v>
      </c>
      <c r="B374" s="2" t="str">
        <f>VLOOKUP(A374,Regions!A:B,2,0)</f>
        <v>Sub-Saharan Africa</v>
      </c>
      <c r="C374" s="2">
        <v>2015</v>
      </c>
      <c r="D374" s="2">
        <f>IF(A375=A374,ABS(C375-C374),"")</f>
        <v>5</v>
      </c>
      <c r="E374" s="2">
        <f>IFERROR(IF(A375=A374,((H374-H375)/(C374-C375)), ""), "null")</f>
        <v>1.1837640919999999</v>
      </c>
      <c r="F374" s="2">
        <v>7171.9091799999997</v>
      </c>
      <c r="G374" s="2">
        <v>40.828998570000003</v>
      </c>
      <c r="H374" s="2">
        <v>57.847465159999999</v>
      </c>
      <c r="I374" s="2">
        <f>IFERROR(ROUND(H374,0),"null")</f>
        <v>58</v>
      </c>
      <c r="J374" s="2" t="str">
        <f>IF(AND(A375=A374,I374=100,I375=100),"full access", " ")</f>
        <v xml:space="preserve"> </v>
      </c>
      <c r="K374" s="2">
        <v>8.1969579570000004</v>
      </c>
      <c r="L374" s="2">
        <v>15.91095456</v>
      </c>
      <c r="M374" s="2">
        <v>18.044622319999998</v>
      </c>
      <c r="N374" s="2">
        <v>45.529713839999999</v>
      </c>
      <c r="O374" s="2">
        <f>IFERROR(ROUND(N374,0),"null")</f>
        <v>46</v>
      </c>
      <c r="P374" s="2" t="str">
        <f>IF(AND(A374=A375,O374=100,O375=100),"full access"," ")</f>
        <v xml:space="preserve"> </v>
      </c>
      <c r="Q374" s="2">
        <f>IFERROR(IF(A375=A374,((N374-N375)/(C374-C375)),""),"null")</f>
        <v>1.4445977659999998</v>
      </c>
      <c r="R374" s="2">
        <v>4.8404944719999996</v>
      </c>
      <c r="S374" s="2">
        <v>21.716961430000001</v>
      </c>
      <c r="T374" s="2">
        <v>27.912830270000001</v>
      </c>
      <c r="U374" s="2">
        <v>75.698837580000003</v>
      </c>
      <c r="V374" s="2">
        <f>IFERROR(ROUND(U374,0),"null")</f>
        <v>76</v>
      </c>
      <c r="W374" s="2" t="str">
        <f>IF(AND(A374=A375,V374=100,V375=100),"full access","")</f>
        <v/>
      </c>
      <c r="X374" s="2">
        <f>IFERROR(IF(A375=A374,((U374-U375)/(C374-C375)),""),"null")</f>
        <v>0.54256001599999881</v>
      </c>
      <c r="Y374" s="2">
        <v>13.06127759</v>
      </c>
      <c r="Z374" s="2">
        <v>7.4966597610000001</v>
      </c>
      <c r="AA374" s="2">
        <v>3.7432250680000001</v>
      </c>
      <c r="AB374" s="2">
        <f>IFERROR(IF(A375=A374, Q374-X374, ""), "null")</f>
        <v>0.90203775000000097</v>
      </c>
    </row>
    <row r="375" spans="1:28">
      <c r="A375" s="2" t="s">
        <v>238</v>
      </c>
      <c r="B375" s="2" t="str">
        <f>VLOOKUP(A375,Regions!A:B,2,0)</f>
        <v>Sub-Saharan Africa</v>
      </c>
      <c r="C375" s="2">
        <v>2020</v>
      </c>
      <c r="D375" s="2" t="str">
        <f>IF(A376=A375,ABS(C376-C375),"")</f>
        <v/>
      </c>
      <c r="E375" s="2" t="str">
        <f>IFERROR(IF(A376=A375,((H375-H376)/(C375-C376)), ""), "null")</f>
        <v/>
      </c>
      <c r="F375" s="2">
        <v>7976.9848629999997</v>
      </c>
      <c r="G375" s="2">
        <v>42.923000340000002</v>
      </c>
      <c r="H375" s="2">
        <v>63.766285619999998</v>
      </c>
      <c r="I375" s="2">
        <f>IFERROR(ROUND(H375,0),"null")</f>
        <v>64</v>
      </c>
      <c r="J375" s="2" t="str">
        <f>IF(AND(A376=A375,I375=100,I376=100),"full access", " ")</f>
        <v xml:space="preserve"> </v>
      </c>
      <c r="K375" s="2">
        <v>9.0233163570000006</v>
      </c>
      <c r="L375" s="2">
        <v>15.5639457</v>
      </c>
      <c r="M375" s="2">
        <v>11.646452330000001</v>
      </c>
      <c r="N375" s="2">
        <v>52.752702669999998</v>
      </c>
      <c r="O375" s="2">
        <f>IFERROR(ROUND(N375,0),"null")</f>
        <v>53</v>
      </c>
      <c r="P375" s="2" t="str">
        <f>IF(AND(A375=A376,O375=100,O376=100),"full access"," ")</f>
        <v xml:space="preserve"> </v>
      </c>
      <c r="Q375" s="2" t="str">
        <f>IFERROR(IF(A376=A375,((N375-N376)/(C375-C376)),""),"null")</f>
        <v/>
      </c>
      <c r="R375" s="2">
        <v>5.2211368890000003</v>
      </c>
      <c r="S375" s="2">
        <v>23.142949089999998</v>
      </c>
      <c r="T375" s="2">
        <v>18.88321135</v>
      </c>
      <c r="U375" s="2">
        <v>78.411637659999997</v>
      </c>
      <c r="V375" s="2">
        <f>IFERROR(ROUND(U375,0),"null")</f>
        <v>78</v>
      </c>
      <c r="W375" s="2" t="str">
        <f>IF(AND(A375=A376,V375=100,V376=100),"full access","")</f>
        <v/>
      </c>
      <c r="X375" s="2" t="str">
        <f>IFERROR(IF(A376=A375,((U375-U376)/(C375-C376)),""),"null")</f>
        <v/>
      </c>
      <c r="Y375" s="2">
        <v>14.079277429999999</v>
      </c>
      <c r="Z375" s="2">
        <v>5.4857354369999998</v>
      </c>
      <c r="AA375" s="2">
        <v>2.0233494749999998</v>
      </c>
      <c r="AB375" s="2" t="str">
        <f>IFERROR(IF(A376=A375, Q375-X375, ""), "null")</f>
        <v/>
      </c>
    </row>
    <row r="376" spans="1:28">
      <c r="A376" s="2" t="s">
        <v>239</v>
      </c>
      <c r="B376" s="2" t="str">
        <f>VLOOKUP(A376,Regions!A:B,2,0)</f>
        <v>East Asia &amp; Pacific</v>
      </c>
      <c r="C376" s="2">
        <v>2015</v>
      </c>
      <c r="D376" s="2">
        <f>IF(A377=A376,ABS(C377-C376),"")</f>
        <v>5</v>
      </c>
      <c r="E376" s="2">
        <f>IFERROR(IF(A377=A376,((H376-H377)/(C376-C377)), ""), "null")</f>
        <v>0</v>
      </c>
      <c r="F376" s="2">
        <v>5592.1430659999996</v>
      </c>
      <c r="G376" s="2">
        <v>100</v>
      </c>
      <c r="H376" s="2">
        <v>100</v>
      </c>
      <c r="I376" s="2">
        <f>IFERROR(ROUND(H376,0),"null")</f>
        <v>100</v>
      </c>
      <c r="J376" s="2" t="str">
        <f>IF(AND(A377=A376,I376=100,I377=100),"full access", " ")</f>
        <v>full access</v>
      </c>
      <c r="K376" s="2">
        <v>0</v>
      </c>
      <c r="L376" s="2">
        <v>0</v>
      </c>
      <c r="M376" s="2">
        <v>0</v>
      </c>
      <c r="N376" s="2" t="s">
        <v>45</v>
      </c>
      <c r="O376" s="2" t="str">
        <f>IFERROR(ROUND(N376,0),"null")</f>
        <v>null</v>
      </c>
      <c r="P376" s="2" t="str">
        <f>IF(AND(A376=A377,O376=100,O377=100),"full access"," ")</f>
        <v xml:space="preserve"> </v>
      </c>
      <c r="Q376" s="2" t="str">
        <f>IFERROR(IF(A377=A376,((N376-N377)/(C376-C377)),""),"null")</f>
        <v>null</v>
      </c>
      <c r="R376" s="2" t="s">
        <v>45</v>
      </c>
      <c r="S376" s="2" t="s">
        <v>45</v>
      </c>
      <c r="T376" s="2" t="s">
        <v>45</v>
      </c>
      <c r="U376" s="2">
        <v>100</v>
      </c>
      <c r="V376" s="2">
        <f>IFERROR(ROUND(U376,0),"null")</f>
        <v>100</v>
      </c>
      <c r="W376" s="2" t="str">
        <f>IF(AND(A376=A377,V376=100,V377=100),"full access","")</f>
        <v>full access</v>
      </c>
      <c r="X376" s="2">
        <f>IFERROR(IF(A377=A376,((U376-U377)/(C376-C377)),""),"null")</f>
        <v>0</v>
      </c>
      <c r="Y376" s="2">
        <v>0</v>
      </c>
      <c r="Z376" s="2">
        <v>0</v>
      </c>
      <c r="AA376" s="2">
        <v>0</v>
      </c>
      <c r="AB376" s="2" t="str">
        <f>IFERROR(IF(A377=A376, Q376-X376, ""), "null")</f>
        <v>null</v>
      </c>
    </row>
    <row r="377" spans="1:28">
      <c r="A377" s="2" t="s">
        <v>239</v>
      </c>
      <c r="B377" s="2" t="str">
        <f>VLOOKUP(A377,Regions!A:B,2,0)</f>
        <v>East Asia &amp; Pacific</v>
      </c>
      <c r="C377" s="2">
        <v>2020</v>
      </c>
      <c r="D377" s="2" t="str">
        <f>IF(A378=A377,ABS(C378-C377),"")</f>
        <v/>
      </c>
      <c r="E377" s="2" t="str">
        <f>IFERROR(IF(A378=A377,((H377-H378)/(C377-C378)), ""), "null")</f>
        <v/>
      </c>
      <c r="F377" s="2">
        <v>5850.3427730000003</v>
      </c>
      <c r="G377" s="2">
        <v>100</v>
      </c>
      <c r="H377" s="2">
        <v>100</v>
      </c>
      <c r="I377" s="2">
        <f>IFERROR(ROUND(H377,0),"null")</f>
        <v>100</v>
      </c>
      <c r="J377" s="2" t="str">
        <f>IF(AND(A378=A377,I377=100,I378=100),"full access", " ")</f>
        <v xml:space="preserve"> </v>
      </c>
      <c r="K377" s="2">
        <v>0</v>
      </c>
      <c r="L377" s="2">
        <v>0</v>
      </c>
      <c r="M377" s="2">
        <v>0</v>
      </c>
      <c r="N377" s="2" t="s">
        <v>45</v>
      </c>
      <c r="O377" s="2" t="str">
        <f>IFERROR(ROUND(N377,0),"null")</f>
        <v>null</v>
      </c>
      <c r="P377" s="2" t="str">
        <f>IF(AND(A377=A378,O377=100,O378=100),"full access"," ")</f>
        <v xml:space="preserve"> </v>
      </c>
      <c r="Q377" s="2" t="str">
        <f>IFERROR(IF(A378=A377,((N377-N378)/(C377-C378)),""),"null")</f>
        <v/>
      </c>
      <c r="R377" s="2" t="s">
        <v>45</v>
      </c>
      <c r="S377" s="2" t="s">
        <v>45</v>
      </c>
      <c r="T377" s="2" t="s">
        <v>45</v>
      </c>
      <c r="U377" s="2">
        <v>100</v>
      </c>
      <c r="V377" s="2">
        <f>IFERROR(ROUND(U377,0),"null")</f>
        <v>100</v>
      </c>
      <c r="W377" s="2" t="str">
        <f>IF(AND(A377=A378,V377=100,V378=100),"full access","")</f>
        <v/>
      </c>
      <c r="X377" s="2" t="str">
        <f>IFERROR(IF(A378=A377,((U377-U378)/(C377-C378)),""),"null")</f>
        <v/>
      </c>
      <c r="Y377" s="2">
        <v>0</v>
      </c>
      <c r="Z377" s="2">
        <v>0</v>
      </c>
      <c r="AA377" s="2">
        <v>0</v>
      </c>
      <c r="AB377" s="2" t="str">
        <f>IFERROR(IF(A378=A377, Q377-X377, ""), "null")</f>
        <v/>
      </c>
    </row>
    <row r="378" spans="1:28">
      <c r="A378" s="2" t="s">
        <v>240</v>
      </c>
      <c r="B378" s="2" t="str">
        <f>VLOOKUP(A378,Regions!A:B,2,0)</f>
        <v>Latin America &amp; Caribbean</v>
      </c>
      <c r="C378" s="2">
        <v>2015</v>
      </c>
      <c r="D378" s="2">
        <f>IF(A379=A378,ABS(C379-C378),"")</f>
        <v>2</v>
      </c>
      <c r="E378" s="2">
        <f>IFERROR(IF(A379=A378,((H378-H379)/(C378-C379)), ""), "null")</f>
        <v>0</v>
      </c>
      <c r="F378" s="2">
        <v>39.966999049999998</v>
      </c>
      <c r="G378" s="2">
        <v>100</v>
      </c>
      <c r="H378" s="2">
        <v>95.311179330000002</v>
      </c>
      <c r="I378" s="2">
        <f>IFERROR(ROUND(H378,0),"null")</f>
        <v>95</v>
      </c>
      <c r="J378" s="2" t="str">
        <f>IF(AND(A379=A378,I378=100,I379=100),"full access", " ")</f>
        <v xml:space="preserve"> </v>
      </c>
      <c r="K378" s="2">
        <v>0</v>
      </c>
      <c r="L378" s="2">
        <v>4.6888206700000001</v>
      </c>
      <c r="M378" s="2">
        <v>0</v>
      </c>
      <c r="N378" s="2" t="s">
        <v>45</v>
      </c>
      <c r="O378" s="2" t="str">
        <f>IFERROR(ROUND(N378,0),"null")</f>
        <v>null</v>
      </c>
      <c r="P378" s="2" t="str">
        <f>IF(AND(A378=A379,O378=100,O379=100),"full access"," ")</f>
        <v xml:space="preserve"> </v>
      </c>
      <c r="Q378" s="2" t="str">
        <f>IFERROR(IF(A379=A378,((N378-N379)/(C378-C379)),""),"null")</f>
        <v>null</v>
      </c>
      <c r="R378" s="2" t="s">
        <v>45</v>
      </c>
      <c r="S378" s="2" t="s">
        <v>45</v>
      </c>
      <c r="T378" s="2" t="s">
        <v>45</v>
      </c>
      <c r="U378" s="2">
        <v>95.311179330000002</v>
      </c>
      <c r="V378" s="2">
        <f>IFERROR(ROUND(U378,0),"null")</f>
        <v>95</v>
      </c>
      <c r="W378" s="2" t="str">
        <f>IF(AND(A378=A379,V378=100,V379=100),"full access","")</f>
        <v/>
      </c>
      <c r="X378" s="2">
        <f>IFERROR(IF(A379=A378,((U378-U379)/(C378-C379)),""),"null")</f>
        <v>0</v>
      </c>
      <c r="Y378" s="2">
        <v>0</v>
      </c>
      <c r="Z378" s="2">
        <v>4.6888206700000001</v>
      </c>
      <c r="AA378" s="2">
        <v>0</v>
      </c>
      <c r="AB378" s="2" t="str">
        <f>IFERROR(IF(A379=A378, Q378-X378, ""), "null")</f>
        <v>null</v>
      </c>
    </row>
    <row r="379" spans="1:28">
      <c r="A379" s="2" t="s">
        <v>240</v>
      </c>
      <c r="B379" s="2" t="str">
        <f>VLOOKUP(A379,Regions!A:B,2,0)</f>
        <v>Latin America &amp; Caribbean</v>
      </c>
      <c r="C379" s="2">
        <v>2017</v>
      </c>
      <c r="D379" s="2" t="str">
        <f>IF(A380=A379,ABS(C380-C379),"")</f>
        <v/>
      </c>
      <c r="E379" s="2" t="str">
        <f>IFERROR(IF(A380=A379,((H379-H380)/(C379-C380)), ""), "null")</f>
        <v/>
      </c>
      <c r="F379" s="2">
        <v>41.444000240000001</v>
      </c>
      <c r="G379" s="2">
        <v>100</v>
      </c>
      <c r="H379" s="2">
        <v>95.311179330000002</v>
      </c>
      <c r="I379" s="2">
        <f>IFERROR(ROUND(H379,0),"null")</f>
        <v>95</v>
      </c>
      <c r="J379" s="2" t="str">
        <f>IF(AND(A380=A379,I379=100,I380=100),"full access", " ")</f>
        <v xml:space="preserve"> </v>
      </c>
      <c r="K379" s="2">
        <v>0</v>
      </c>
      <c r="L379" s="2">
        <v>4.6888206700000001</v>
      </c>
      <c r="M379" s="2">
        <v>0</v>
      </c>
      <c r="N379" s="2" t="s">
        <v>45</v>
      </c>
      <c r="O379" s="2" t="str">
        <f>IFERROR(ROUND(N379,0),"null")</f>
        <v>null</v>
      </c>
      <c r="P379" s="2" t="str">
        <f>IF(AND(A379=A380,O379=100,O380=100),"full access"," ")</f>
        <v xml:space="preserve"> </v>
      </c>
      <c r="Q379" s="2" t="str">
        <f>IFERROR(IF(A380=A379,((N379-N380)/(C379-C380)),""),"null")</f>
        <v/>
      </c>
      <c r="R379" s="2" t="s">
        <v>45</v>
      </c>
      <c r="S379" s="2" t="s">
        <v>45</v>
      </c>
      <c r="T379" s="2" t="s">
        <v>45</v>
      </c>
      <c r="U379" s="2">
        <v>95.311179330000002</v>
      </c>
      <c r="V379" s="2">
        <f>IFERROR(ROUND(U379,0),"null")</f>
        <v>95</v>
      </c>
      <c r="W379" s="2" t="str">
        <f>IF(AND(A379=A380,V379=100,V380=100),"full access","")</f>
        <v/>
      </c>
      <c r="X379" s="2" t="str">
        <f>IFERROR(IF(A380=A379,((U379-U380)/(C379-C380)),""),"null")</f>
        <v/>
      </c>
      <c r="Y379" s="2">
        <v>0</v>
      </c>
      <c r="Z379" s="2">
        <v>4.6888206700000001</v>
      </c>
      <c r="AA379" s="2">
        <v>0</v>
      </c>
      <c r="AB379" s="2" t="str">
        <f>IFERROR(IF(A380=A379, Q379-X379, ""), "null")</f>
        <v/>
      </c>
    </row>
    <row r="380" spans="1:28">
      <c r="A380" s="2" t="s">
        <v>241</v>
      </c>
      <c r="B380" s="2" t="str">
        <f>VLOOKUP(A380,Regions!A:B,2,0)</f>
        <v>Europe &amp; Central Asia</v>
      </c>
      <c r="C380" s="2">
        <v>2015</v>
      </c>
      <c r="D380" s="2">
        <f>IF(A381=A380,ABS(C381-C380),"")</f>
        <v>5</v>
      </c>
      <c r="E380" s="2">
        <f>IFERROR(IF(A381=A380,((H380-H381)/(C380-C381)), ""), "null")</f>
        <v>1.018899999991163E-4</v>
      </c>
      <c r="F380" s="2">
        <v>5435.6137699999999</v>
      </c>
      <c r="G380" s="2">
        <v>53.888999939999998</v>
      </c>
      <c r="H380" s="2">
        <v>99.787189130000002</v>
      </c>
      <c r="I380" s="2">
        <f>IFERROR(ROUND(H380,0),"null")</f>
        <v>100</v>
      </c>
      <c r="J380" s="2" t="str">
        <f>IF(AND(A381=A380,I380=100,I381=100),"full access", " ")</f>
        <v>full access</v>
      </c>
      <c r="K380" s="2">
        <v>0.21281086739999999</v>
      </c>
      <c r="L380" s="2">
        <v>0</v>
      </c>
      <c r="M380" s="2">
        <v>0</v>
      </c>
      <c r="N380" s="2">
        <v>100</v>
      </c>
      <c r="O380" s="2">
        <f>IFERROR(ROUND(N380,0),"null")</f>
        <v>100</v>
      </c>
      <c r="P380" s="2" t="str">
        <f>IF(AND(A380=A381,O380=100,O381=100),"full access"," ")</f>
        <v>full access</v>
      </c>
      <c r="Q380" s="2">
        <f>IFERROR(IF(A381=A380,((N380-N381)/(C380-C381)),""),"null")</f>
        <v>0</v>
      </c>
      <c r="R380" s="2">
        <v>0</v>
      </c>
      <c r="S380" s="2">
        <v>0</v>
      </c>
      <c r="T380" s="2">
        <v>0</v>
      </c>
      <c r="U380" s="2">
        <v>99.605094059999999</v>
      </c>
      <c r="V380" s="2">
        <f>IFERROR(ROUND(U380,0),"null")</f>
        <v>100</v>
      </c>
      <c r="W380" s="2" t="str">
        <f>IF(AND(A380=A381,V380=100,V381=100),"full access","")</f>
        <v>full access</v>
      </c>
      <c r="X380" s="2">
        <f>IFERROR(IF(A381=A380,((U380-U381)/(C380-C381)),""),"null")</f>
        <v>0</v>
      </c>
      <c r="Y380" s="2">
        <v>0.39490593740000002</v>
      </c>
      <c r="Z380" s="2">
        <v>0</v>
      </c>
      <c r="AA380" s="2">
        <v>0</v>
      </c>
      <c r="AB380" s="2">
        <f>IFERROR(IF(A381=A380, Q380-X380, ""), "null")</f>
        <v>0</v>
      </c>
    </row>
    <row r="381" spans="1:28">
      <c r="A381" s="2" t="s">
        <v>241</v>
      </c>
      <c r="B381" s="2" t="str">
        <f>VLOOKUP(A381,Regions!A:B,2,0)</f>
        <v>Europe &amp; Central Asia</v>
      </c>
      <c r="C381" s="2">
        <v>2020</v>
      </c>
      <c r="D381" s="2" t="str">
        <f>IF(A382=A381,ABS(C382-C381),"")</f>
        <v/>
      </c>
      <c r="E381" s="2" t="str">
        <f>IFERROR(IF(A382=A381,((H381-H382)/(C381-C382)), ""), "null")</f>
        <v/>
      </c>
      <c r="F381" s="2">
        <v>5459.6430659999996</v>
      </c>
      <c r="G381" s="2">
        <v>53.759998320000001</v>
      </c>
      <c r="H381" s="2">
        <v>99.787698579999997</v>
      </c>
      <c r="I381" s="2">
        <f>IFERROR(ROUND(H381,0),"null")</f>
        <v>100</v>
      </c>
      <c r="J381" s="2" t="str">
        <f>IF(AND(A382=A381,I381=100,I382=100),"full access", " ")</f>
        <v xml:space="preserve"> </v>
      </c>
      <c r="K381" s="2">
        <v>0.2123014241</v>
      </c>
      <c r="L381" s="2">
        <v>0</v>
      </c>
      <c r="M381" s="2">
        <v>0</v>
      </c>
      <c r="N381" s="2">
        <v>100</v>
      </c>
      <c r="O381" s="2">
        <f>IFERROR(ROUND(N381,0),"null")</f>
        <v>100</v>
      </c>
      <c r="P381" s="2" t="str">
        <f>IF(AND(A381=A382,O381=100,O382=100),"full access"," ")</f>
        <v xml:space="preserve"> </v>
      </c>
      <c r="Q381" s="2" t="str">
        <f>IFERROR(IF(A382=A381,((N381-N382)/(C381-C382)),""),"null")</f>
        <v/>
      </c>
      <c r="R381" s="2">
        <v>0</v>
      </c>
      <c r="S381" s="2">
        <v>0</v>
      </c>
      <c r="T381" s="2">
        <v>0</v>
      </c>
      <c r="U381" s="2">
        <v>99.605094059999999</v>
      </c>
      <c r="V381" s="2">
        <f>IFERROR(ROUND(U381,0),"null")</f>
        <v>100</v>
      </c>
      <c r="W381" s="2" t="str">
        <f>IF(AND(A381=A382,V381=100,V382=100),"full access","")</f>
        <v/>
      </c>
      <c r="X381" s="2" t="str">
        <f>IFERROR(IF(A382=A381,((U381-U382)/(C381-C382)),""),"null")</f>
        <v/>
      </c>
      <c r="Y381" s="2">
        <v>0.39490593740000002</v>
      </c>
      <c r="Z381" s="2">
        <v>0</v>
      </c>
      <c r="AA381" s="2">
        <v>0</v>
      </c>
      <c r="AB381" s="2" t="str">
        <f>IFERROR(IF(A382=A381, Q381-X381, ""), "null")</f>
        <v/>
      </c>
    </row>
    <row r="382" spans="1:28">
      <c r="A382" s="2" t="s">
        <v>242</v>
      </c>
      <c r="B382" s="2" t="str">
        <f>VLOOKUP(A382,Regions!A:B,2,0)</f>
        <v>Europe &amp; Central Asia</v>
      </c>
      <c r="C382" s="2">
        <v>2015</v>
      </c>
      <c r="D382" s="2">
        <f>IF(A383=A382,ABS(C383-C382),"")</f>
        <v>5</v>
      </c>
      <c r="E382" s="2">
        <f>IFERROR(IF(A383=A382,((H382-H383)/(C382-C383)), ""), "null")</f>
        <v>0</v>
      </c>
      <c r="F382" s="2">
        <v>2071.1989749999998</v>
      </c>
      <c r="G382" s="2">
        <v>53.78100586</v>
      </c>
      <c r="H382" s="2">
        <v>99.5</v>
      </c>
      <c r="I382" s="2">
        <f>IFERROR(ROUND(H382,0),"null")</f>
        <v>100</v>
      </c>
      <c r="J382" s="2" t="str">
        <f>IF(AND(A383=A382,I382=100,I383=100),"full access", " ")</f>
        <v>full access</v>
      </c>
      <c r="K382" s="2">
        <v>0</v>
      </c>
      <c r="L382" s="2">
        <v>0.5</v>
      </c>
      <c r="M382" s="2">
        <v>0</v>
      </c>
      <c r="N382" s="2" t="s">
        <v>45</v>
      </c>
      <c r="O382" s="2" t="str">
        <f>IFERROR(ROUND(N382,0),"null")</f>
        <v>null</v>
      </c>
      <c r="P382" s="2" t="str">
        <f>IF(AND(A382=A383,O382=100,O383=100),"full access"," ")</f>
        <v xml:space="preserve"> </v>
      </c>
      <c r="Q382" s="2" t="str">
        <f>IFERROR(IF(A383=A382,((N382-N383)/(C382-C383)),""),"null")</f>
        <v>null</v>
      </c>
      <c r="R382" s="2" t="s">
        <v>45</v>
      </c>
      <c r="S382" s="2" t="s">
        <v>45</v>
      </c>
      <c r="T382" s="2" t="s">
        <v>45</v>
      </c>
      <c r="U382" s="2" t="s">
        <v>45</v>
      </c>
      <c r="V382" s="2" t="str">
        <f>IFERROR(ROUND(U382,0),"null")</f>
        <v>null</v>
      </c>
      <c r="W382" s="2" t="str">
        <f>IF(AND(A382=A383,V382=100,V383=100),"full access","")</f>
        <v/>
      </c>
      <c r="X382" s="2" t="str">
        <f>IFERROR(IF(A383=A382,((U382-U383)/(C382-C383)),""),"null")</f>
        <v>null</v>
      </c>
      <c r="Y382" s="2" t="s">
        <v>45</v>
      </c>
      <c r="Z382" s="2" t="s">
        <v>45</v>
      </c>
      <c r="AA382" s="2" t="s">
        <v>45</v>
      </c>
      <c r="AB382" s="2" t="str">
        <f>IFERROR(IF(A383=A382, Q382-X382, ""), "null")</f>
        <v>null</v>
      </c>
    </row>
    <row r="383" spans="1:28">
      <c r="A383" s="2" t="s">
        <v>242</v>
      </c>
      <c r="B383" s="2" t="str">
        <f>VLOOKUP(A383,Regions!A:B,2,0)</f>
        <v>Europe &amp; Central Asia</v>
      </c>
      <c r="C383" s="2">
        <v>2020</v>
      </c>
      <c r="D383" s="2" t="str">
        <f>IF(A384=A383,ABS(C384-C383),"")</f>
        <v/>
      </c>
      <c r="E383" s="2" t="str">
        <f>IFERROR(IF(A384=A383,((H383-H384)/(C383-C384)), ""), "null")</f>
        <v/>
      </c>
      <c r="F383" s="2">
        <v>2078.931885</v>
      </c>
      <c r="G383" s="2">
        <v>55.118003850000001</v>
      </c>
      <c r="H383" s="2">
        <v>99.5</v>
      </c>
      <c r="I383" s="2">
        <f>IFERROR(ROUND(H383,0),"null")</f>
        <v>100</v>
      </c>
      <c r="J383" s="2" t="str">
        <f>IF(AND(A384=A383,I383=100,I384=100),"full access", " ")</f>
        <v xml:space="preserve"> </v>
      </c>
      <c r="K383" s="2">
        <v>0</v>
      </c>
      <c r="L383" s="2">
        <v>0.5</v>
      </c>
      <c r="M383" s="2">
        <v>0</v>
      </c>
      <c r="N383" s="2" t="s">
        <v>45</v>
      </c>
      <c r="O383" s="2" t="str">
        <f>IFERROR(ROUND(N383,0),"null")</f>
        <v>null</v>
      </c>
      <c r="P383" s="2" t="str">
        <f>IF(AND(A383=A384,O383=100,O384=100),"full access"," ")</f>
        <v xml:space="preserve"> </v>
      </c>
      <c r="Q383" s="2" t="str">
        <f>IFERROR(IF(A384=A383,((N383-N384)/(C383-C384)),""),"null")</f>
        <v/>
      </c>
      <c r="R383" s="2" t="s">
        <v>45</v>
      </c>
      <c r="S383" s="2" t="s">
        <v>45</v>
      </c>
      <c r="T383" s="2" t="s">
        <v>45</v>
      </c>
      <c r="U383" s="2" t="s">
        <v>45</v>
      </c>
      <c r="V383" s="2" t="str">
        <f>IFERROR(ROUND(U383,0),"null")</f>
        <v>null</v>
      </c>
      <c r="W383" s="2" t="str">
        <f>IF(AND(A383=A384,V383=100,V384=100),"full access","")</f>
        <v/>
      </c>
      <c r="X383" s="2" t="str">
        <f>IFERROR(IF(A384=A383,((U383-U384)/(C383-C384)),""),"null")</f>
        <v/>
      </c>
      <c r="Y383" s="2" t="s">
        <v>45</v>
      </c>
      <c r="Z383" s="2" t="s">
        <v>45</v>
      </c>
      <c r="AA383" s="2" t="s">
        <v>45</v>
      </c>
      <c r="AB383" s="2" t="str">
        <f>IFERROR(IF(A384=A383, Q383-X383, ""), "null")</f>
        <v/>
      </c>
    </row>
    <row r="384" spans="1:28">
      <c r="A384" s="2" t="s">
        <v>243</v>
      </c>
      <c r="B384" s="2" t="str">
        <f>VLOOKUP(A384,Regions!A:B,2,0)</f>
        <v>East Asia &amp; Pacific</v>
      </c>
      <c r="C384" s="2">
        <v>2015</v>
      </c>
      <c r="D384" s="2">
        <f>IF(A385=A384,ABS(C385-C384),"")</f>
        <v>5</v>
      </c>
      <c r="E384" s="2">
        <f>IFERROR(IF(A385=A384,((H384-H385)/(C384-C385)), ""), "null")</f>
        <v>-0.40577867000000084</v>
      </c>
      <c r="F384" s="2">
        <v>603.13299559999996</v>
      </c>
      <c r="G384" s="2">
        <v>22.359998699999998</v>
      </c>
      <c r="H384" s="2">
        <v>69.329918890000002</v>
      </c>
      <c r="I384" s="2">
        <f>IFERROR(ROUND(H384,0),"null")</f>
        <v>69</v>
      </c>
      <c r="J384" s="2" t="str">
        <f>IF(AND(A385=A384,I384=100,I385=100),"full access", " ")</f>
        <v xml:space="preserve"> </v>
      </c>
      <c r="K384" s="2">
        <v>5.7052676340000001</v>
      </c>
      <c r="L384" s="2">
        <v>18.988981249999998</v>
      </c>
      <c r="M384" s="2">
        <v>5.9758322210000001</v>
      </c>
      <c r="N384" s="2">
        <v>63.012138190000002</v>
      </c>
      <c r="O384" s="2">
        <f>IFERROR(ROUND(N384,0),"null")</f>
        <v>63</v>
      </c>
      <c r="P384" s="2" t="str">
        <f>IF(AND(A384=A385,O384=100,O385=100),"full access"," ")</f>
        <v xml:space="preserve"> </v>
      </c>
      <c r="Q384" s="2">
        <f>IFERROR(IF(A385=A384,((N384-N385)/(C384-C385)),""),"null")</f>
        <v>-0.72137414000000033</v>
      </c>
      <c r="R384" s="2">
        <v>6.3384682029999997</v>
      </c>
      <c r="S384" s="2">
        <v>23.284595639999999</v>
      </c>
      <c r="T384" s="2">
        <v>7.3647979660000003</v>
      </c>
      <c r="U384" s="2">
        <v>91.266972050000007</v>
      </c>
      <c r="V384" s="2">
        <f>IFERROR(ROUND(U384,0),"null")</f>
        <v>91</v>
      </c>
      <c r="W384" s="2" t="str">
        <f>IF(AND(A384=A385,V384=100,V385=100),"full access","")</f>
        <v/>
      </c>
      <c r="X384" s="2">
        <f>IFERROR(IF(A385=A384,((U384-U385)/(C384-C385)),""),"null")</f>
        <v>2.8760967999997434E-2</v>
      </c>
      <c r="Y384" s="2">
        <v>3.5066230169999999</v>
      </c>
      <c r="Z384" s="2">
        <v>4.0734396070000001</v>
      </c>
      <c r="AA384" s="2">
        <v>1.1529653280000001</v>
      </c>
      <c r="AB384" s="2">
        <f>IFERROR(IF(A385=A384, Q384-X384, ""), "null")</f>
        <v>-0.75013510799999772</v>
      </c>
    </row>
    <row r="385" spans="1:28">
      <c r="A385" s="2" t="s">
        <v>243</v>
      </c>
      <c r="B385" s="2" t="str">
        <f>VLOOKUP(A385,Regions!A:B,2,0)</f>
        <v>East Asia &amp; Pacific</v>
      </c>
      <c r="C385" s="2">
        <v>2020</v>
      </c>
      <c r="D385" s="2" t="str">
        <f>IF(A386=A385,ABS(C386-C385),"")</f>
        <v/>
      </c>
      <c r="E385" s="2" t="str">
        <f>IFERROR(IF(A386=A385,((H385-H386)/(C385-C386)), ""), "null")</f>
        <v/>
      </c>
      <c r="F385" s="2">
        <v>686.87799070000005</v>
      </c>
      <c r="G385" s="2">
        <v>24.670000080000001</v>
      </c>
      <c r="H385" s="2">
        <v>67.301025539999998</v>
      </c>
      <c r="I385" s="2">
        <f>IFERROR(ROUND(H385,0),"null")</f>
        <v>67</v>
      </c>
      <c r="J385" s="2" t="str">
        <f>IF(AND(A386=A385,I385=100,I386=100),"full access", " ")</f>
        <v xml:space="preserve"> </v>
      </c>
      <c r="K385" s="2">
        <v>5.79547831</v>
      </c>
      <c r="L385" s="2">
        <v>21.267843129999999</v>
      </c>
      <c r="M385" s="2">
        <v>5.6356530249999999</v>
      </c>
      <c r="N385" s="2">
        <v>59.40526749</v>
      </c>
      <c r="O385" s="2">
        <f>IFERROR(ROUND(N385,0),"null")</f>
        <v>59</v>
      </c>
      <c r="P385" s="2" t="str">
        <f>IF(AND(A385=A386,O385=100,O386=100),"full access"," ")</f>
        <v xml:space="preserve"> </v>
      </c>
      <c r="Q385" s="2" t="str">
        <f>IFERROR(IF(A386=A385,((N385-N386)/(C385-C386)),""),"null")</f>
        <v/>
      </c>
      <c r="R385" s="2">
        <v>6.5285236490000003</v>
      </c>
      <c r="S385" s="2">
        <v>26.955911</v>
      </c>
      <c r="T385" s="2">
        <v>7.1102978569999999</v>
      </c>
      <c r="U385" s="2">
        <v>91.410776889999994</v>
      </c>
      <c r="V385" s="2">
        <f>IFERROR(ROUND(U385,0),"null")</f>
        <v>91</v>
      </c>
      <c r="W385" s="2" t="str">
        <f>IF(AND(A385=A386,V385=100,V386=100),"full access","")</f>
        <v/>
      </c>
      <c r="X385" s="2" t="str">
        <f>IFERROR(IF(A386=A385,((U385-U386)/(C385-C386)),""),"null")</f>
        <v/>
      </c>
      <c r="Y385" s="2">
        <v>3.5571204249999999</v>
      </c>
      <c r="Z385" s="2">
        <v>3.8992861369999998</v>
      </c>
      <c r="AA385" s="2">
        <v>1.1328165530000001</v>
      </c>
      <c r="AB385" s="2" t="str">
        <f>IFERROR(IF(A386=A385, Q385-X385, ""), "null")</f>
        <v/>
      </c>
    </row>
    <row r="386" spans="1:28">
      <c r="A386" s="2" t="s">
        <v>244</v>
      </c>
      <c r="B386" s="2" t="str">
        <f>VLOOKUP(A386,Regions!A:B,2,0)</f>
        <v>Sub-Saharan Africa</v>
      </c>
      <c r="C386" s="2">
        <v>2015</v>
      </c>
      <c r="D386" s="2">
        <f>IF(A387=A386,ABS(C387-C386),"")</f>
        <v>5</v>
      </c>
      <c r="E386" s="2">
        <f>IFERROR(IF(A387=A386,((H386-H387)/(C386-C387)), ""), "null")</f>
        <v>1.553163941999999</v>
      </c>
      <c r="F386" s="2">
        <v>13797.204100000001</v>
      </c>
      <c r="G386" s="2">
        <v>43.245002749999998</v>
      </c>
      <c r="H386" s="2">
        <v>48.711153680000002</v>
      </c>
      <c r="I386" s="2">
        <f>IFERROR(ROUND(H386,0),"null")</f>
        <v>49</v>
      </c>
      <c r="J386" s="2" t="str">
        <f>IF(AND(A387=A386,I386=100,I387=100),"full access", " ")</f>
        <v xml:space="preserve"> </v>
      </c>
      <c r="K386" s="2">
        <v>23.406187760000002</v>
      </c>
      <c r="L386" s="2">
        <v>20.154106760000001</v>
      </c>
      <c r="M386" s="2">
        <v>7.7285517889999999</v>
      </c>
      <c r="N386" s="2">
        <v>29.2281926</v>
      </c>
      <c r="O386" s="2">
        <f>IFERROR(ROUND(N386,0),"null")</f>
        <v>29</v>
      </c>
      <c r="P386" s="2" t="str">
        <f>IF(AND(A386=A387,O386=100,O387=100),"full access"," ")</f>
        <v xml:space="preserve"> </v>
      </c>
      <c r="Q386" s="2">
        <f>IFERROR(IF(A387=A386,((N386-N387)/(C386-C387)),""),"null")</f>
        <v>1.5695340439999996</v>
      </c>
      <c r="R386" s="2">
        <v>28.887148530000001</v>
      </c>
      <c r="S386" s="2">
        <v>28.975788860000002</v>
      </c>
      <c r="T386" s="2">
        <v>12.908870009999999</v>
      </c>
      <c r="U386" s="2">
        <v>74.28070864</v>
      </c>
      <c r="V386" s="2">
        <f>IFERROR(ROUND(U386,0),"null")</f>
        <v>74</v>
      </c>
      <c r="W386" s="2" t="str">
        <f>IF(AND(A386=A387,V386=100,V387=100),"full access","")</f>
        <v/>
      </c>
      <c r="X386" s="2">
        <f>IFERROR(IF(A387=A386,((U386-U387)/(C386-C387)),""),"null")</f>
        <v>0.96851942000000124</v>
      </c>
      <c r="Y386" s="2">
        <v>16.212941990000001</v>
      </c>
      <c r="Z386" s="2">
        <v>8.5764782830000001</v>
      </c>
      <c r="AA386" s="2">
        <v>0.92987109219999997</v>
      </c>
      <c r="AB386" s="2">
        <f>IFERROR(IF(A387=A386, Q386-X386, ""), "null")</f>
        <v>0.60101462399999839</v>
      </c>
    </row>
    <row r="387" spans="1:28">
      <c r="A387" s="2" t="s">
        <v>244</v>
      </c>
      <c r="B387" s="2" t="str">
        <f>VLOOKUP(A387,Regions!A:B,2,0)</f>
        <v>Sub-Saharan Africa</v>
      </c>
      <c r="C387" s="2">
        <v>2020</v>
      </c>
      <c r="D387" s="2" t="str">
        <f>IF(A388=A387,ABS(C388-C387),"")</f>
        <v/>
      </c>
      <c r="E387" s="2" t="str">
        <f>IFERROR(IF(A388=A387,((H387-H388)/(C387-C388)), ""), "null")</f>
        <v/>
      </c>
      <c r="F387" s="2">
        <v>15893.21875</v>
      </c>
      <c r="G387" s="2">
        <v>46.140998840000002</v>
      </c>
      <c r="H387" s="2">
        <v>56.476973389999998</v>
      </c>
      <c r="I387" s="2">
        <f>IFERROR(ROUND(H387,0),"null")</f>
        <v>56</v>
      </c>
      <c r="J387" s="2" t="str">
        <f>IF(AND(A388=A387,I387=100,I388=100),"full access", " ")</f>
        <v xml:space="preserve"> </v>
      </c>
      <c r="K387" s="2">
        <v>27.704199559999999</v>
      </c>
      <c r="L387" s="2">
        <v>13.41704303</v>
      </c>
      <c r="M387" s="2">
        <v>2.4017840210000001</v>
      </c>
      <c r="N387" s="2">
        <v>37.075862819999998</v>
      </c>
      <c r="O387" s="2">
        <f>IFERROR(ROUND(N387,0),"null")</f>
        <v>37</v>
      </c>
      <c r="P387" s="2" t="str">
        <f>IF(AND(A387=A388,O387=100,O388=100),"full access"," ")</f>
        <v xml:space="preserve"> </v>
      </c>
      <c r="Q387" s="2" t="str">
        <f>IFERROR(IF(A388=A387,((N387-N388)/(C387-C388)),""),"null")</f>
        <v/>
      </c>
      <c r="R387" s="2">
        <v>36.643249580000003</v>
      </c>
      <c r="S387" s="2">
        <v>21.821495460000001</v>
      </c>
      <c r="T387" s="2">
        <v>4.4593921429999996</v>
      </c>
      <c r="U387" s="2">
        <v>79.123305740000006</v>
      </c>
      <c r="V387" s="2">
        <f>IFERROR(ROUND(U387,0),"null")</f>
        <v>79</v>
      </c>
      <c r="W387" s="2" t="str">
        <f>IF(AND(A387=A388,V387=100,V388=100),"full access","")</f>
        <v/>
      </c>
      <c r="X387" s="2" t="str">
        <f>IFERROR(IF(A388=A387,((U387-U388)/(C387-C388)),""),"null")</f>
        <v/>
      </c>
      <c r="Y387" s="2">
        <v>17.269915560000001</v>
      </c>
      <c r="Z387" s="2">
        <v>3.6067787029999998</v>
      </c>
      <c r="AA387" s="2">
        <v>0</v>
      </c>
      <c r="AB387" s="2" t="str">
        <f>IFERROR(IF(A388=A387, Q387-X387, ""), "null")</f>
        <v/>
      </c>
    </row>
    <row r="388" spans="1:28">
      <c r="A388" s="2" t="s">
        <v>245</v>
      </c>
      <c r="B388" s="2" t="str">
        <f>VLOOKUP(A388,Regions!A:B,2,0)</f>
        <v>Sub-Saharan Africa</v>
      </c>
      <c r="C388" s="2">
        <v>2015</v>
      </c>
      <c r="D388" s="2">
        <f>IF(A389=A388,ABS(C389-C388),"")</f>
        <v>5</v>
      </c>
      <c r="E388" s="2">
        <f>IFERROR(IF(A389=A388,((H388-H389)/(C388-C389)), ""), "null")</f>
        <v>0.4017427139999995</v>
      </c>
      <c r="F388" s="2">
        <v>55386.367189999997</v>
      </c>
      <c r="G388" s="2">
        <v>64.828002929999997</v>
      </c>
      <c r="H388" s="2">
        <v>91.876343869999999</v>
      </c>
      <c r="I388" s="2">
        <f>IFERROR(ROUND(H388,0),"null")</f>
        <v>92</v>
      </c>
      <c r="J388" s="2" t="str">
        <f>IF(AND(A389=A388,I388=100,I389=100),"full access", " ")</f>
        <v xml:space="preserve"> </v>
      </c>
      <c r="K388" s="2">
        <v>2.8031559650000002</v>
      </c>
      <c r="L388" s="2">
        <v>2.0788208039999998</v>
      </c>
      <c r="M388" s="2">
        <v>3.2416793589999999</v>
      </c>
      <c r="N388" s="2">
        <v>79.033738529999994</v>
      </c>
      <c r="O388" s="2">
        <f>IFERROR(ROUND(N388,0),"null")</f>
        <v>79</v>
      </c>
      <c r="P388" s="2" t="str">
        <f>IF(AND(A388=A389,O388=100,O389=100),"full access"," ")</f>
        <v xml:space="preserve"> </v>
      </c>
      <c r="Q388" s="2">
        <f>IFERROR(IF(A389=A388,((N388-N389)/(C388-C389)),""),"null")</f>
        <v>0.85914853000000169</v>
      </c>
      <c r="R388" s="2">
        <v>6.6176674499999999</v>
      </c>
      <c r="S388" s="2">
        <v>5.1319458180000002</v>
      </c>
      <c r="T388" s="2">
        <v>9.216648202</v>
      </c>
      <c r="U388" s="2">
        <v>98.844013450000006</v>
      </c>
      <c r="V388" s="2">
        <f>IFERROR(ROUND(U388,0),"null")</f>
        <v>99</v>
      </c>
      <c r="W388" s="2" t="str">
        <f>IF(AND(A388=A389,V388=100,V389=100),"full access","")</f>
        <v/>
      </c>
      <c r="X388" s="2">
        <f>IFERROR(IF(A389=A388,((U388-U389)/(C388-C389)),""),"null")</f>
        <v>3.1450277999999797E-2</v>
      </c>
      <c r="Y388" s="2">
        <v>0.73361828630000003</v>
      </c>
      <c r="Z388" s="2">
        <v>0.42236825970000003</v>
      </c>
      <c r="AA388" s="2">
        <v>0</v>
      </c>
      <c r="AB388" s="2">
        <f>IFERROR(IF(A389=A388, Q388-X388, ""), "null")</f>
        <v>0.82769825200000191</v>
      </c>
    </row>
    <row r="389" spans="1:28">
      <c r="A389" s="2" t="s">
        <v>245</v>
      </c>
      <c r="B389" s="2" t="str">
        <f>VLOOKUP(A389,Regions!A:B,2,0)</f>
        <v>Sub-Saharan Africa</v>
      </c>
      <c r="C389" s="2">
        <v>2020</v>
      </c>
      <c r="D389" s="2" t="str">
        <f>IF(A390=A389,ABS(C390-C389),"")</f>
        <v/>
      </c>
      <c r="E389" s="2" t="str">
        <f>IFERROR(IF(A390=A389,((H389-H390)/(C389-C390)), ""), "null")</f>
        <v/>
      </c>
      <c r="F389" s="2">
        <v>59308.691409999999</v>
      </c>
      <c r="G389" s="2">
        <v>67.354003910000003</v>
      </c>
      <c r="H389" s="2">
        <v>93.885057439999997</v>
      </c>
      <c r="I389" s="2">
        <f>IFERROR(ROUND(H389,0),"null")</f>
        <v>94</v>
      </c>
      <c r="J389" s="2" t="str">
        <f>IF(AND(A390=A389,I389=100,I390=100),"full access", " ")</f>
        <v xml:space="preserve"> </v>
      </c>
      <c r="K389" s="2">
        <v>2.7727361859999999</v>
      </c>
      <c r="L389" s="2">
        <v>1.410816657</v>
      </c>
      <c r="M389" s="2">
        <v>1.9313897120000001</v>
      </c>
      <c r="N389" s="2">
        <v>83.329481180000002</v>
      </c>
      <c r="O389" s="2">
        <f>IFERROR(ROUND(N389,0),"null")</f>
        <v>83</v>
      </c>
      <c r="P389" s="2" t="str">
        <f>IF(AND(A389=A390,O389=100,O390=100),"full access"," ")</f>
        <v xml:space="preserve"> </v>
      </c>
      <c r="Q389" s="2" t="str">
        <f>IFERROR(IF(A390=A389,((N389-N390)/(C389-C390)),""),"null")</f>
        <v/>
      </c>
      <c r="R389" s="2">
        <v>6.9773593590000003</v>
      </c>
      <c r="S389" s="2">
        <v>3.7769992870000002</v>
      </c>
      <c r="T389" s="2">
        <v>5.9161601729999997</v>
      </c>
      <c r="U389" s="2">
        <v>99.001264840000005</v>
      </c>
      <c r="V389" s="2">
        <f>IFERROR(ROUND(U389,0),"null")</f>
        <v>99</v>
      </c>
      <c r="W389" s="2" t="str">
        <f>IF(AND(A389=A390,V389=100,V390=100),"full access","")</f>
        <v/>
      </c>
      <c r="X389" s="2" t="str">
        <f>IFERROR(IF(A390=A389,((U389-U390)/(C389-C390)),""),"null")</f>
        <v/>
      </c>
      <c r="Y389" s="2">
        <v>0.73478540299999995</v>
      </c>
      <c r="Z389" s="2">
        <v>0.26394975469999998</v>
      </c>
      <c r="AA389" s="2">
        <v>0</v>
      </c>
      <c r="AB389" s="2" t="str">
        <f>IFERROR(IF(A390=A389, Q389-X389, ""), "null")</f>
        <v/>
      </c>
    </row>
    <row r="390" spans="1:28">
      <c r="A390" s="2" t="s">
        <v>246</v>
      </c>
      <c r="B390" s="2" t="str">
        <f>VLOOKUP(A390,Regions!A:B,2,0)</f>
        <v>Sub-Saharan Africa</v>
      </c>
      <c r="C390" s="2">
        <v>2015</v>
      </c>
      <c r="D390" s="2">
        <f>IF(A391=A390,ABS(C391-C390),"")</f>
        <v>5</v>
      </c>
      <c r="E390" s="2">
        <f>IFERROR(IF(A391=A390,((H390-H391)/(C390-C391)), ""), "null")</f>
        <v>-5.9316458000000696E-2</v>
      </c>
      <c r="F390" s="2">
        <v>10715.657230000001</v>
      </c>
      <c r="G390" s="2">
        <v>18.851999280000001</v>
      </c>
      <c r="H390" s="2">
        <v>41.247509460000003</v>
      </c>
      <c r="I390" s="2">
        <f>IFERROR(ROUND(H390,0),"null")</f>
        <v>41</v>
      </c>
      <c r="J390" s="2" t="str">
        <f>IF(AND(A391=A390,I390=100,I391=100),"full access", " ")</f>
        <v xml:space="preserve"> </v>
      </c>
      <c r="K390" s="2">
        <v>30.695737130000001</v>
      </c>
      <c r="L390" s="2">
        <v>13.55439295</v>
      </c>
      <c r="M390" s="2">
        <v>14.502360449999999</v>
      </c>
      <c r="N390" s="2">
        <v>36.726779729999997</v>
      </c>
      <c r="O390" s="2">
        <f>IFERROR(ROUND(N390,0),"null")</f>
        <v>37</v>
      </c>
      <c r="P390" s="2" t="str">
        <f>IF(AND(A390=A391,O390=100,O391=100),"full access"," ")</f>
        <v xml:space="preserve"> </v>
      </c>
      <c r="Q390" s="2">
        <f>IFERROR(IF(A391=A390,((N390-N391)/(C390-C391)),""),"null")</f>
        <v>-0.6266301839999997</v>
      </c>
      <c r="R390" s="2">
        <v>32.662799669999998</v>
      </c>
      <c r="S390" s="2">
        <v>14.310065379999999</v>
      </c>
      <c r="T390" s="2">
        <v>16.30035522</v>
      </c>
      <c r="U390" s="2">
        <v>60.70687736</v>
      </c>
      <c r="V390" s="2">
        <f>IFERROR(ROUND(U390,0),"null")</f>
        <v>61</v>
      </c>
      <c r="W390" s="2" t="str">
        <f>IF(AND(A390=A391,V390=100,V391=100),"full access","")</f>
        <v/>
      </c>
      <c r="X390" s="2">
        <f>IFERROR(IF(A391=A390,((U390-U391)/(C390-C391)),""),"null")</f>
        <v>1.8621654179999994</v>
      </c>
      <c r="Y390" s="2">
        <v>22.228553949999998</v>
      </c>
      <c r="Z390" s="2">
        <v>10.301639140000001</v>
      </c>
      <c r="AA390" s="2">
        <v>6.7629295520000001</v>
      </c>
      <c r="AB390" s="2">
        <f>IFERROR(IF(A391=A390, Q390-X390, ""), "null")</f>
        <v>-2.4887956019999988</v>
      </c>
    </row>
    <row r="391" spans="1:28">
      <c r="A391" s="2" t="s">
        <v>246</v>
      </c>
      <c r="B391" s="2" t="str">
        <f>VLOOKUP(A391,Regions!A:B,2,0)</f>
        <v>Sub-Saharan Africa</v>
      </c>
      <c r="C391" s="2">
        <v>2020</v>
      </c>
      <c r="D391" s="2" t="str">
        <f>IF(A392=A391,ABS(C392-C391),"")</f>
        <v/>
      </c>
      <c r="E391" s="2" t="str">
        <f>IFERROR(IF(A392=A391,((H391-H392)/(C391-C392)), ""), "null")</f>
        <v/>
      </c>
      <c r="F391" s="2">
        <v>11193.728520000001</v>
      </c>
      <c r="G391" s="2">
        <v>20.198999400000002</v>
      </c>
      <c r="H391" s="2">
        <v>40.95092717</v>
      </c>
      <c r="I391" s="2">
        <f>IFERROR(ROUND(H391,0),"null")</f>
        <v>41</v>
      </c>
      <c r="J391" s="2" t="str">
        <f>IF(AND(A392=A391,I391=100,I392=100),"full access", " ")</f>
        <v xml:space="preserve"> </v>
      </c>
      <c r="K391" s="2">
        <v>37.426962869999997</v>
      </c>
      <c r="L391" s="2">
        <v>13.537555190000001</v>
      </c>
      <c r="M391" s="2">
        <v>8.0845547619999998</v>
      </c>
      <c r="N391" s="2">
        <v>33.593628809999998</v>
      </c>
      <c r="O391" s="2">
        <f>IFERROR(ROUND(N391,0),"null")</f>
        <v>34</v>
      </c>
      <c r="P391" s="2" t="str">
        <f>IF(AND(A391=A392,O391=100,O392=100),"full access"," ")</f>
        <v xml:space="preserve"> </v>
      </c>
      <c r="Q391" s="2" t="str">
        <f>IFERROR(IF(A392=A391,((N391-N392)/(C391-C392)),""),"null")</f>
        <v/>
      </c>
      <c r="R391" s="2">
        <v>42.164380680000001</v>
      </c>
      <c r="S391" s="2">
        <v>14.111096160000001</v>
      </c>
      <c r="T391" s="2">
        <v>10.13089435</v>
      </c>
      <c r="U391" s="2">
        <v>70.017704449999997</v>
      </c>
      <c r="V391" s="2">
        <f>IFERROR(ROUND(U391,0),"null")</f>
        <v>70</v>
      </c>
      <c r="W391" s="2" t="str">
        <f>IF(AND(A391=A392,V391=100,V392=100),"full access","")</f>
        <v/>
      </c>
      <c r="X391" s="2" t="str">
        <f>IFERROR(IF(A392=A391,((U391-U392)/(C391-C392)),""),"null")</f>
        <v/>
      </c>
      <c r="Y391" s="2">
        <v>18.710660919999999</v>
      </c>
      <c r="Z391" s="2">
        <v>11.27163464</v>
      </c>
      <c r="AA391" s="2">
        <v>0</v>
      </c>
      <c r="AB391" s="2" t="str">
        <f>IFERROR(IF(A392=A391, Q391-X391, ""), "null")</f>
        <v/>
      </c>
    </row>
    <row r="392" spans="1:28">
      <c r="A392" s="2" t="s">
        <v>247</v>
      </c>
      <c r="B392" s="2" t="str">
        <f>VLOOKUP(A392,Regions!A:B,2,0)</f>
        <v>Europe &amp; Central Asia</v>
      </c>
      <c r="C392" s="2">
        <v>2015</v>
      </c>
      <c r="D392" s="2">
        <f>IF(A393=A392,ABS(C393-C392),"")</f>
        <v>5</v>
      </c>
      <c r="E392" s="2">
        <f>IFERROR(IF(A393=A392,((H392-H393)/(C392-C393)), ""), "null")</f>
        <v>-2.2156999999936033E-4</v>
      </c>
      <c r="F392" s="2">
        <v>46671.917970000002</v>
      </c>
      <c r="G392" s="2">
        <v>79.60199738</v>
      </c>
      <c r="H392" s="2">
        <v>99.926720459999999</v>
      </c>
      <c r="I392" s="2">
        <f>IFERROR(ROUND(H392,0),"null")</f>
        <v>100</v>
      </c>
      <c r="J392" s="2" t="str">
        <f>IF(AND(A393=A392,I392=100,I393=100),"full access", " ")</f>
        <v>full access</v>
      </c>
      <c r="K392" s="2">
        <v>0</v>
      </c>
      <c r="L392" s="2">
        <v>7.3279544409999994E-2</v>
      </c>
      <c r="M392" s="2">
        <v>0</v>
      </c>
      <c r="N392" s="2">
        <v>100</v>
      </c>
      <c r="O392" s="2">
        <f>IFERROR(ROUND(N392,0),"null")</f>
        <v>100</v>
      </c>
      <c r="P392" s="2" t="str">
        <f>IF(AND(A392=A393,O392=100,O393=100),"full access"," ")</f>
        <v>full access</v>
      </c>
      <c r="Q392" s="2">
        <f>IFERROR(IF(A393=A392,((N392-N393)/(C392-C393)),""),"null")</f>
        <v>0</v>
      </c>
      <c r="R392" s="2">
        <v>0</v>
      </c>
      <c r="S392" s="2">
        <v>0</v>
      </c>
      <c r="T392" s="2">
        <v>0</v>
      </c>
      <c r="U392" s="2">
        <v>99.907945209999994</v>
      </c>
      <c r="V392" s="2">
        <f>IFERROR(ROUND(U392,0),"null")</f>
        <v>100</v>
      </c>
      <c r="W392" s="2" t="str">
        <f>IF(AND(A392=A393,V392=100,V393=100),"full access","")</f>
        <v>full access</v>
      </c>
      <c r="X392" s="2">
        <f>IFERROR(IF(A393=A392,((U392-U393)/(C392-C393)),""),"null")</f>
        <v>0</v>
      </c>
      <c r="Y392" s="2">
        <v>0</v>
      </c>
      <c r="Z392" s="2">
        <v>9.2054794519999997E-2</v>
      </c>
      <c r="AA392" s="2">
        <v>0</v>
      </c>
      <c r="AB392" s="2">
        <f>IFERROR(IF(A393=A392, Q392-X392, ""), "null")</f>
        <v>0</v>
      </c>
    </row>
    <row r="393" spans="1:28">
      <c r="A393" s="2" t="s">
        <v>247</v>
      </c>
      <c r="B393" s="2" t="str">
        <f>VLOOKUP(A393,Regions!A:B,2,0)</f>
        <v>Europe &amp; Central Asia</v>
      </c>
      <c r="C393" s="2">
        <v>2020</v>
      </c>
      <c r="D393" s="2" t="str">
        <f>IF(A394=A393,ABS(C394-C393),"")</f>
        <v/>
      </c>
      <c r="E393" s="2" t="str">
        <f>IFERROR(IF(A394=A393,((H393-H394)/(C393-C394)), ""), "null")</f>
        <v/>
      </c>
      <c r="F393" s="2">
        <v>46754.78125</v>
      </c>
      <c r="G393" s="2">
        <v>80.809997559999999</v>
      </c>
      <c r="H393" s="2">
        <v>99.925612610000002</v>
      </c>
      <c r="I393" s="2">
        <f>IFERROR(ROUND(H393,0),"null")</f>
        <v>100</v>
      </c>
      <c r="J393" s="2" t="str">
        <f>IF(AND(A394=A393,I393=100,I394=100),"full access", " ")</f>
        <v xml:space="preserve"> </v>
      </c>
      <c r="K393" s="2">
        <v>0</v>
      </c>
      <c r="L393" s="2">
        <v>7.4387391420000004E-2</v>
      </c>
      <c r="M393" s="2">
        <v>0</v>
      </c>
      <c r="N393" s="2">
        <v>100</v>
      </c>
      <c r="O393" s="2">
        <f>IFERROR(ROUND(N393,0),"null")</f>
        <v>100</v>
      </c>
      <c r="P393" s="2" t="str">
        <f>IF(AND(A393=A394,O393=100,O394=100),"full access"," ")</f>
        <v xml:space="preserve"> </v>
      </c>
      <c r="Q393" s="2" t="str">
        <f>IFERROR(IF(A394=A393,((N393-N394)/(C393-C394)),""),"null")</f>
        <v/>
      </c>
      <c r="R393" s="2">
        <v>0</v>
      </c>
      <c r="S393" s="2">
        <v>0</v>
      </c>
      <c r="T393" s="2">
        <v>0</v>
      </c>
      <c r="U393" s="2">
        <v>99.907945209999994</v>
      </c>
      <c r="V393" s="2">
        <f>IFERROR(ROUND(U393,0),"null")</f>
        <v>100</v>
      </c>
      <c r="W393" s="2" t="str">
        <f>IF(AND(A393=A394,V393=100,V394=100),"full access","")</f>
        <v/>
      </c>
      <c r="X393" s="2" t="str">
        <f>IFERROR(IF(A394=A393,((U393-U394)/(C393-C394)),""),"null")</f>
        <v/>
      </c>
      <c r="Y393" s="2">
        <v>0</v>
      </c>
      <c r="Z393" s="2">
        <v>9.2054794519999997E-2</v>
      </c>
      <c r="AA393" s="2">
        <v>0</v>
      </c>
      <c r="AB393" s="2" t="str">
        <f>IFERROR(IF(A394=A393, Q393-X393, ""), "null")</f>
        <v/>
      </c>
    </row>
    <row r="394" spans="1:28">
      <c r="A394" s="2" t="s">
        <v>248</v>
      </c>
      <c r="B394" s="2" t="str">
        <f>VLOOKUP(A394,Regions!A:B,2,0)</f>
        <v>South Asia</v>
      </c>
      <c r="C394" s="2">
        <v>2015</v>
      </c>
      <c r="D394" s="2">
        <f>IF(A395=A394,ABS(C395-C394),"")</f>
        <v>5</v>
      </c>
      <c r="E394" s="2">
        <f>IFERROR(IF(A395=A394,((H394-H395)/(C394-C395)), ""), "null")</f>
        <v>0.42331015999999977</v>
      </c>
      <c r="F394" s="2">
        <v>20908.023440000001</v>
      </c>
      <c r="G394" s="2">
        <v>18.256000520000001</v>
      </c>
      <c r="H394" s="2">
        <v>90.111028570000002</v>
      </c>
      <c r="I394" s="2">
        <f>IFERROR(ROUND(H394,0),"null")</f>
        <v>90</v>
      </c>
      <c r="J394" s="2" t="str">
        <f>IF(AND(A395=A394,I394=100,I395=100),"full access", " ")</f>
        <v xml:space="preserve"> </v>
      </c>
      <c r="K394" s="2">
        <v>0.91280129350000005</v>
      </c>
      <c r="L394" s="2">
        <v>6.7615228930000004</v>
      </c>
      <c r="M394" s="2">
        <v>2.2146472469999998</v>
      </c>
      <c r="N394" s="2">
        <v>88.257106140000005</v>
      </c>
      <c r="O394" s="2">
        <f>IFERROR(ROUND(N394,0),"null")</f>
        <v>88</v>
      </c>
      <c r="P394" s="2" t="str">
        <f>IF(AND(A394=A395,O394=100,O395=100),"full access"," ")</f>
        <v xml:space="preserve"> </v>
      </c>
      <c r="Q394" s="2">
        <f>IFERROR(IF(A395=A394,((N394-N395)/(C394-C395)),""),"null")</f>
        <v>0.45606591199999968</v>
      </c>
      <c r="R394" s="2">
        <v>1.0162902579999999</v>
      </c>
      <c r="S394" s="2">
        <v>8.017356135</v>
      </c>
      <c r="T394" s="2">
        <v>2.7092474630000001</v>
      </c>
      <c r="U394" s="2">
        <v>98.412246519999997</v>
      </c>
      <c r="V394" s="2">
        <f>IFERROR(ROUND(U394,0),"null")</f>
        <v>98</v>
      </c>
      <c r="W394" s="2" t="str">
        <f>IF(AND(A394=A395,V394=100,V395=100),"full access","")</f>
        <v/>
      </c>
      <c r="X394" s="2">
        <f>IFERROR(IF(A395=A394,((U394-U395)/(C394-C395)),""),"null")</f>
        <v>0.23142673400000149</v>
      </c>
      <c r="Y394" s="2">
        <v>0.44941380939999998</v>
      </c>
      <c r="Z394" s="2">
        <v>1.1383396720000001</v>
      </c>
      <c r="AA394" s="2">
        <v>0</v>
      </c>
      <c r="AB394" s="2">
        <f>IFERROR(IF(A395=A394, Q394-X394, ""), "null")</f>
        <v>0.22463917799999819</v>
      </c>
    </row>
    <row r="395" spans="1:28">
      <c r="A395" s="2" t="s">
        <v>248</v>
      </c>
      <c r="B395" s="2" t="str">
        <f>VLOOKUP(A395,Regions!A:B,2,0)</f>
        <v>South Asia</v>
      </c>
      <c r="C395" s="2">
        <v>2020</v>
      </c>
      <c r="D395" s="2" t="str">
        <f>IF(A396=A395,ABS(C396-C395),"")</f>
        <v/>
      </c>
      <c r="E395" s="2" t="str">
        <f>IFERROR(IF(A396=A395,((H395-H396)/(C395-C396)), ""), "null")</f>
        <v/>
      </c>
      <c r="F395" s="2">
        <v>21413.25</v>
      </c>
      <c r="G395" s="2">
        <v>18.71299934</v>
      </c>
      <c r="H395" s="2">
        <v>92.227579370000001</v>
      </c>
      <c r="I395" s="2">
        <f>IFERROR(ROUND(H395,0),"null")</f>
        <v>92</v>
      </c>
      <c r="J395" s="2" t="str">
        <f>IF(AND(A396=A395,I395=100,I396=100),"full access", " ")</f>
        <v xml:space="preserve"> </v>
      </c>
      <c r="K395" s="2">
        <v>0.59545814949999998</v>
      </c>
      <c r="L395" s="2">
        <v>5.3489270639999997</v>
      </c>
      <c r="M395" s="2">
        <v>1.82803542</v>
      </c>
      <c r="N395" s="2">
        <v>90.537435700000003</v>
      </c>
      <c r="O395" s="2">
        <f>IFERROR(ROUND(N395,0),"null")</f>
        <v>91</v>
      </c>
      <c r="P395" s="2" t="str">
        <f>IF(AND(A395=A396,O395=100,O396=100),"full access"," ")</f>
        <v xml:space="preserve"> </v>
      </c>
      <c r="Q395" s="2" t="str">
        <f>IFERROR(IF(A396=A395,((N395-N396)/(C395-C396)),""),"null")</f>
        <v/>
      </c>
      <c r="R395" s="2">
        <v>0.70320990380000004</v>
      </c>
      <c r="S395" s="2">
        <v>6.5104886119999996</v>
      </c>
      <c r="T395" s="2">
        <v>2.2488657820000002</v>
      </c>
      <c r="U395" s="2">
        <v>99.569380190000004</v>
      </c>
      <c r="V395" s="2">
        <f>IFERROR(ROUND(U395,0),"null")</f>
        <v>100</v>
      </c>
      <c r="W395" s="2" t="str">
        <f>IF(AND(A395=A396,V395=100,V396=100),"full access","")</f>
        <v/>
      </c>
      <c r="X395" s="2" t="str">
        <f>IFERROR(IF(A396=A395,((U395-U396)/(C395-C396)),""),"null")</f>
        <v/>
      </c>
      <c r="Y395" s="2">
        <v>0.12739779009999999</v>
      </c>
      <c r="Z395" s="2">
        <v>0.3032220202</v>
      </c>
      <c r="AA395" s="2">
        <v>0</v>
      </c>
      <c r="AB395" s="2" t="str">
        <f>IFERROR(IF(A396=A395, Q395-X395, ""), "null")</f>
        <v/>
      </c>
    </row>
    <row r="396" spans="1:28">
      <c r="A396" s="2" t="s">
        <v>249</v>
      </c>
      <c r="B396" s="2" t="str">
        <f>VLOOKUP(A396,Regions!A:B,2,0)</f>
        <v>Middle East &amp; North Africa</v>
      </c>
      <c r="C396" s="2">
        <v>2015</v>
      </c>
      <c r="D396" s="2">
        <f>IF(A397=A396,ABS(C397-C396),"")</f>
        <v>5</v>
      </c>
      <c r="E396" s="2">
        <f>IFERROR(IF(A397=A396,((H396-H397)/(C396-C397)), ""), "null")</f>
        <v>0.29968445599999993</v>
      </c>
      <c r="F396" s="2">
        <v>38902.949220000002</v>
      </c>
      <c r="G396" s="2">
        <v>33.894001009999997</v>
      </c>
      <c r="H396" s="2">
        <v>58.950253320000002</v>
      </c>
      <c r="I396" s="2">
        <f>IFERROR(ROUND(H396,0),"null")</f>
        <v>59</v>
      </c>
      <c r="J396" s="2" t="str">
        <f>IF(AND(A397=A396,I396=100,I397=100),"full access", " ")</f>
        <v xml:space="preserve"> </v>
      </c>
      <c r="K396" s="2">
        <v>26.111815979999999</v>
      </c>
      <c r="L396" s="2">
        <v>5.635847128</v>
      </c>
      <c r="M396" s="2">
        <v>9.3020835690000006</v>
      </c>
      <c r="N396" s="2">
        <v>51.707437730000002</v>
      </c>
      <c r="O396" s="2">
        <f>IFERROR(ROUND(N396,0),"null")</f>
        <v>52</v>
      </c>
      <c r="P396" s="2" t="str">
        <f>IF(AND(A396=A397,O396=100,O397=100),"full access"," ")</f>
        <v xml:space="preserve"> </v>
      </c>
      <c r="Q396" s="2">
        <f>IFERROR(IF(A397=A396,((N396-N397)/(C396-C397)),""),"null")</f>
        <v>0.29831786799999949</v>
      </c>
      <c r="R396" s="2">
        <v>26.687789639999998</v>
      </c>
      <c r="S396" s="2">
        <v>8.1225675119999998</v>
      </c>
      <c r="T396" s="2">
        <v>13.482205130000001</v>
      </c>
      <c r="U396" s="2">
        <v>73.076457570000002</v>
      </c>
      <c r="V396" s="2">
        <f>IFERROR(ROUND(U396,0),"null")</f>
        <v>73</v>
      </c>
      <c r="W396" s="2" t="str">
        <f>IF(AND(A396=A397,V396=100,V397=100),"full access","")</f>
        <v/>
      </c>
      <c r="X396" s="2">
        <f>IFERROR(IF(A397=A396,((U396-U397)/(C396-C397)),""),"null")</f>
        <v>0.13744039799999824</v>
      </c>
      <c r="Y396" s="2">
        <v>24.98845154</v>
      </c>
      <c r="Z396" s="2">
        <v>0.78581062170000004</v>
      </c>
      <c r="AA396" s="2">
        <v>1.14928027</v>
      </c>
      <c r="AB396" s="2">
        <f>IFERROR(IF(A397=A396, Q396-X396, ""), "null")</f>
        <v>0.16087747000000124</v>
      </c>
    </row>
    <row r="397" spans="1:28">
      <c r="A397" s="2" t="s">
        <v>249</v>
      </c>
      <c r="B397" s="2" t="str">
        <f>VLOOKUP(A397,Regions!A:B,2,0)</f>
        <v>Middle East &amp; North Africa</v>
      </c>
      <c r="C397" s="2">
        <v>2020</v>
      </c>
      <c r="D397" s="2" t="str">
        <f>IF(A398=A397,ABS(C398-C397),"")</f>
        <v/>
      </c>
      <c r="E397" s="2" t="str">
        <f>IFERROR(IF(A398=A397,((H397-H398)/(C397-C398)), ""), "null")</f>
        <v/>
      </c>
      <c r="F397" s="2">
        <v>43849.269529999998</v>
      </c>
      <c r="G397" s="2">
        <v>35.252998349999999</v>
      </c>
      <c r="H397" s="2">
        <v>60.448675600000001</v>
      </c>
      <c r="I397" s="2">
        <f>IFERROR(ROUND(H397,0),"null")</f>
        <v>60</v>
      </c>
      <c r="J397" s="2" t="str">
        <f>IF(AND(A398=A397,I397=100,I398=100),"full access", " ")</f>
        <v xml:space="preserve"> </v>
      </c>
      <c r="K397" s="2">
        <v>26.670019750000002</v>
      </c>
      <c r="L397" s="2">
        <v>3.6502178750000001</v>
      </c>
      <c r="M397" s="2">
        <v>9.2310867739999996</v>
      </c>
      <c r="N397" s="2">
        <v>53.19902707</v>
      </c>
      <c r="O397" s="2">
        <f>IFERROR(ROUND(N397,0),"null")</f>
        <v>53</v>
      </c>
      <c r="P397" s="2" t="str">
        <f>IF(AND(A397=A398,O397=100,O398=100),"full access"," ")</f>
        <v xml:space="preserve"> </v>
      </c>
      <c r="Q397" s="2" t="str">
        <f>IFERROR(IF(A398=A397,((N397-N398)/(C397-C398)),""),"null")</f>
        <v/>
      </c>
      <c r="R397" s="2">
        <v>27.457644510000002</v>
      </c>
      <c r="S397" s="2">
        <v>5.6376600080000001</v>
      </c>
      <c r="T397" s="2">
        <v>13.70566842</v>
      </c>
      <c r="U397" s="2">
        <v>73.763659559999994</v>
      </c>
      <c r="V397" s="2">
        <f>IFERROR(ROUND(U397,0),"null")</f>
        <v>74</v>
      </c>
      <c r="W397" s="2" t="str">
        <f>IF(AND(A397=A398,V397=100,V398=100),"full access","")</f>
        <v/>
      </c>
      <c r="X397" s="2" t="str">
        <f>IFERROR(IF(A398=A397,((U397-U398)/(C397-C398)),""),"null")</f>
        <v/>
      </c>
      <c r="Y397" s="2">
        <v>25.223439859999999</v>
      </c>
      <c r="Z397" s="2">
        <v>0</v>
      </c>
      <c r="AA397" s="2">
        <v>1.012900581</v>
      </c>
      <c r="AB397" s="2" t="str">
        <f>IFERROR(IF(A398=A397, Q397-X397, ""), "null")</f>
        <v/>
      </c>
    </row>
    <row r="398" spans="1:28">
      <c r="A398" s="2" t="s">
        <v>250</v>
      </c>
      <c r="B398" s="2" t="str">
        <f>VLOOKUP(A398,Regions!A:B,2,0)</f>
        <v>Latin America &amp; Caribbean</v>
      </c>
      <c r="C398" s="2">
        <v>2015</v>
      </c>
      <c r="D398" s="2">
        <f>IF(A399=A398,ABS(C399-C398),"")</f>
        <v>5</v>
      </c>
      <c r="E398" s="2">
        <f>IFERROR(IF(A399=A398,((H398-H399)/(C398-C399)), ""), "null")</f>
        <v>0.44838790000000017</v>
      </c>
      <c r="F398" s="2">
        <v>559.13598630000001</v>
      </c>
      <c r="G398" s="2">
        <v>66.055999760000006</v>
      </c>
      <c r="H398" s="2">
        <v>95.747692169999993</v>
      </c>
      <c r="I398" s="2">
        <f>IFERROR(ROUND(H398,0),"null")</f>
        <v>96</v>
      </c>
      <c r="J398" s="2" t="str">
        <f>IF(AND(A399=A398,I398=100,I399=100),"full access", " ")</f>
        <v xml:space="preserve"> </v>
      </c>
      <c r="K398" s="2">
        <v>0.88280139830000004</v>
      </c>
      <c r="L398" s="2">
        <v>1.0138349760000001</v>
      </c>
      <c r="M398" s="2">
        <v>2.3556714599999999</v>
      </c>
      <c r="N398" s="2">
        <v>90.57961632</v>
      </c>
      <c r="O398" s="2">
        <f>IFERROR(ROUND(N398,0),"null")</f>
        <v>91</v>
      </c>
      <c r="P398" s="2" t="str">
        <f>IF(AND(A398=A399,O398=100,O399=100),"full access"," ")</f>
        <v xml:space="preserve"> </v>
      </c>
      <c r="Q398" s="2">
        <f>IFERROR(IF(A399=A398,((N398-N399)/(C398-C399)),""),"null")</f>
        <v>1.1989592619999996</v>
      </c>
      <c r="R398" s="2">
        <v>1.2850321419999999</v>
      </c>
      <c r="S398" s="2">
        <v>1.200506574</v>
      </c>
      <c r="T398" s="2">
        <v>6.9348449649999999</v>
      </c>
      <c r="U398" s="2">
        <v>98.403399699999994</v>
      </c>
      <c r="V398" s="2">
        <f>IFERROR(ROUND(U398,0),"null")</f>
        <v>98</v>
      </c>
      <c r="W398" s="2" t="str">
        <f>IF(AND(A398=A399,V398=100,V399=100),"full access","")</f>
        <v/>
      </c>
      <c r="X398" s="2">
        <f>IFERROR(IF(A399=A398,((U398-U399)/(C398-C399)),""),"null")</f>
        <v>6.209083399999997E-2</v>
      </c>
      <c r="Y398" s="2">
        <v>0.67610833329999998</v>
      </c>
      <c r="Z398" s="2">
        <v>0.91790651420000002</v>
      </c>
      <c r="AA398" s="2">
        <v>2.585454545E-3</v>
      </c>
      <c r="AB398" s="2">
        <f>IFERROR(IF(A399=A398, Q398-X398, ""), "null")</f>
        <v>1.1368684279999997</v>
      </c>
    </row>
    <row r="399" spans="1:28">
      <c r="A399" s="2" t="s">
        <v>250</v>
      </c>
      <c r="B399" s="2" t="str">
        <f>VLOOKUP(A399,Regions!A:B,2,0)</f>
        <v>Latin America &amp; Caribbean</v>
      </c>
      <c r="C399" s="2">
        <v>2020</v>
      </c>
      <c r="D399" s="2" t="str">
        <f>IF(A400=A399,ABS(C400-C399),"")</f>
        <v/>
      </c>
      <c r="E399" s="2" t="str">
        <f>IFERROR(IF(A400=A399,((H399-H400)/(C399-C400)), ""), "null")</f>
        <v/>
      </c>
      <c r="F399" s="2">
        <v>586.63397220000002</v>
      </c>
      <c r="G399" s="2">
        <v>66.149002080000002</v>
      </c>
      <c r="H399" s="2">
        <v>97.989631669999994</v>
      </c>
      <c r="I399" s="2">
        <f>IFERROR(ROUND(H399,0),"null")</f>
        <v>98</v>
      </c>
      <c r="J399" s="2" t="str">
        <f>IF(AND(A400=A399,I399=100,I400=100),"full access", " ")</f>
        <v xml:space="preserve"> </v>
      </c>
      <c r="K399" s="2">
        <v>1.0672469410000001</v>
      </c>
      <c r="L399" s="2">
        <v>0.37933650730000001</v>
      </c>
      <c r="M399" s="2">
        <v>0.56378488400000004</v>
      </c>
      <c r="N399" s="2">
        <v>96.574412629999998</v>
      </c>
      <c r="O399" s="2">
        <f>IFERROR(ROUND(N399,0),"null")</f>
        <v>97</v>
      </c>
      <c r="P399" s="2" t="str">
        <f>IF(AND(A399=A400,O399=100,O400=100),"full access"," ")</f>
        <v xml:space="preserve"> </v>
      </c>
      <c r="Q399" s="2" t="str">
        <f>IFERROR(IF(A400=A399,((N399-N400)/(C399-C400)),""),"null")</f>
        <v/>
      </c>
      <c r="R399" s="2">
        <v>1.6002958599999999</v>
      </c>
      <c r="S399" s="2">
        <v>0.1598017947</v>
      </c>
      <c r="T399" s="2">
        <v>1.6654897200000001</v>
      </c>
      <c r="U399" s="2">
        <v>98.713853869999994</v>
      </c>
      <c r="V399" s="2">
        <f>IFERROR(ROUND(U399,0),"null")</f>
        <v>99</v>
      </c>
      <c r="W399" s="2" t="str">
        <f>IF(AND(A399=A400,V399=100,V400=100),"full access","")</f>
        <v/>
      </c>
      <c r="X399" s="2" t="str">
        <f>IFERROR(IF(A400=A399,((U399-U400)/(C399-C400)),""),"null")</f>
        <v/>
      </c>
      <c r="Y399" s="2">
        <v>0.79446523710000005</v>
      </c>
      <c r="Z399" s="2">
        <v>0.49168089250000002</v>
      </c>
      <c r="AA399" s="2">
        <v>0</v>
      </c>
      <c r="AB399" s="2" t="str">
        <f>IFERROR(IF(A400=A399, Q399-X399, ""), "null")</f>
        <v/>
      </c>
    </row>
    <row r="400" spans="1:28">
      <c r="A400" s="2" t="s">
        <v>251</v>
      </c>
      <c r="B400" s="2" t="str">
        <f>VLOOKUP(A400,Regions!A:B,2,0)</f>
        <v>Europe &amp; Central Asia</v>
      </c>
      <c r="C400" s="2">
        <v>2015</v>
      </c>
      <c r="D400" s="2">
        <f>IF(A401=A400,ABS(C401-C400),"")</f>
        <v>5</v>
      </c>
      <c r="E400" s="2">
        <f>IFERROR(IF(A401=A400,((H400-H401)/(C400-C401)), ""), "null")</f>
        <v>9.1273199999989171E-3</v>
      </c>
      <c r="F400" s="2">
        <v>9764.9492190000001</v>
      </c>
      <c r="G400" s="2">
        <v>86.553001399999999</v>
      </c>
      <c r="H400" s="2">
        <v>99.781231030000001</v>
      </c>
      <c r="I400" s="2">
        <f>IFERROR(ROUND(H400,0),"null")</f>
        <v>100</v>
      </c>
      <c r="J400" s="2" t="str">
        <f>IF(AND(A401=A400,I400=100,I401=100),"full access", " ")</f>
        <v>full access</v>
      </c>
      <c r="K400" s="2">
        <v>0</v>
      </c>
      <c r="L400" s="2">
        <v>0.2187689729</v>
      </c>
      <c r="M400" s="2">
        <v>0</v>
      </c>
      <c r="N400" s="2">
        <v>99.549986529999998</v>
      </c>
      <c r="O400" s="2">
        <f>IFERROR(ROUND(N400,0),"null")</f>
        <v>100</v>
      </c>
      <c r="P400" s="2" t="str">
        <f>IF(AND(A400=A401,O400=100,O401=100),"full access"," ")</f>
        <v>full access</v>
      </c>
      <c r="Q400" s="2">
        <f>IFERROR(IF(A401=A400,((N400-N401)/(C400-C401)),""),"null")</f>
        <v>3.387764200000163E-2</v>
      </c>
      <c r="R400" s="2">
        <v>0</v>
      </c>
      <c r="S400" s="2">
        <v>0.4500134657</v>
      </c>
      <c r="T400" s="2">
        <v>0</v>
      </c>
      <c r="U400" s="2">
        <v>99.817160389999998</v>
      </c>
      <c r="V400" s="2">
        <f>IFERROR(ROUND(U400,0),"null")</f>
        <v>100</v>
      </c>
      <c r="W400" s="2" t="str">
        <f>IF(AND(A400=A401,V400=100,V401=100),"full access","")</f>
        <v>full access</v>
      </c>
      <c r="X400" s="2">
        <f>IFERROR(IF(A401=A400,((U400-U401)/(C400-C401)),""),"null")</f>
        <v>4.8794579999992035E-3</v>
      </c>
      <c r="Y400" s="2">
        <v>0</v>
      </c>
      <c r="Z400" s="2">
        <v>0.18283961479999999</v>
      </c>
      <c r="AA400" s="2">
        <v>0</v>
      </c>
      <c r="AB400" s="2">
        <f>IFERROR(IF(A401=A400, Q400-X400, ""), "null")</f>
        <v>2.8998184000002425E-2</v>
      </c>
    </row>
    <row r="401" spans="1:28">
      <c r="A401" s="2" t="s">
        <v>251</v>
      </c>
      <c r="B401" s="2" t="str">
        <f>VLOOKUP(A401,Regions!A:B,2,0)</f>
        <v>Europe &amp; Central Asia</v>
      </c>
      <c r="C401" s="2">
        <v>2020</v>
      </c>
      <c r="D401" s="2" t="str">
        <f>IF(A402=A401,ABS(C402-C401),"")</f>
        <v/>
      </c>
      <c r="E401" s="2" t="str">
        <f>IFERROR(IF(A402=A401,((H401-H402)/(C401-C402)), ""), "null")</f>
        <v/>
      </c>
      <c r="F401" s="2">
        <v>10099.26953</v>
      </c>
      <c r="G401" s="2">
        <v>87.97699738</v>
      </c>
      <c r="H401" s="2">
        <v>99.826867629999995</v>
      </c>
      <c r="I401" s="2">
        <f>IFERROR(ROUND(H401,0),"null")</f>
        <v>100</v>
      </c>
      <c r="J401" s="2" t="str">
        <f>IF(AND(A402=A401,I401=100,I402=100),"full access", " ")</f>
        <v xml:space="preserve"> </v>
      </c>
      <c r="K401" s="2">
        <v>0</v>
      </c>
      <c r="L401" s="2">
        <v>0.17313237349999999</v>
      </c>
      <c r="M401" s="2">
        <v>0</v>
      </c>
      <c r="N401" s="2">
        <v>99.719374740000006</v>
      </c>
      <c r="O401" s="2">
        <f>IFERROR(ROUND(N401,0),"null")</f>
        <v>100</v>
      </c>
      <c r="P401" s="2" t="str">
        <f>IF(AND(A401=A402,O401=100,O402=100),"full access"," ")</f>
        <v xml:space="preserve"> </v>
      </c>
      <c r="Q401" s="2" t="str">
        <f>IFERROR(IF(A402=A401,((N401-N402)/(C401-C402)),""),"null")</f>
        <v/>
      </c>
      <c r="R401" s="2">
        <v>0</v>
      </c>
      <c r="S401" s="2">
        <v>0.28062526259999998</v>
      </c>
      <c r="T401" s="2">
        <v>0</v>
      </c>
      <c r="U401" s="2">
        <v>99.841557679999994</v>
      </c>
      <c r="V401" s="2">
        <f>IFERROR(ROUND(U401,0),"null")</f>
        <v>100</v>
      </c>
      <c r="W401" s="2" t="str">
        <f>IF(AND(A401=A402,V401=100,V402=100),"full access","")</f>
        <v/>
      </c>
      <c r="X401" s="2" t="str">
        <f>IFERROR(IF(A402=A401,((U401-U402)/(C401-C402)),""),"null")</f>
        <v/>
      </c>
      <c r="Y401" s="2">
        <v>0</v>
      </c>
      <c r="Z401" s="2">
        <v>0.1584423157</v>
      </c>
      <c r="AA401" s="2">
        <v>0</v>
      </c>
      <c r="AB401" s="2" t="str">
        <f>IFERROR(IF(A402=A401, Q401-X401, ""), "null")</f>
        <v/>
      </c>
    </row>
    <row r="402" spans="1:28">
      <c r="A402" s="2" t="s">
        <v>252</v>
      </c>
      <c r="B402" s="2" t="str">
        <f>VLOOKUP(A402,Regions!A:B,2,0)</f>
        <v>Europe &amp; Central Asia</v>
      </c>
      <c r="C402" s="2">
        <v>2015</v>
      </c>
      <c r="D402" s="2">
        <f>IF(A403=A402,ABS(C403-C402),"")</f>
        <v>5</v>
      </c>
      <c r="E402" s="2">
        <f>IFERROR(IF(A403=A402,((H402-H403)/(C402-C403)), ""), "null")</f>
        <v>5.6000000085987263E-7</v>
      </c>
      <c r="F402" s="2">
        <v>8296.7753909999992</v>
      </c>
      <c r="G402" s="2">
        <v>73.718002319999997</v>
      </c>
      <c r="H402" s="2">
        <v>100</v>
      </c>
      <c r="I402" s="2">
        <f>IFERROR(ROUND(H402,0),"null")</f>
        <v>100</v>
      </c>
      <c r="J402" s="2" t="str">
        <f>IF(AND(A403=A402,I402=100,I403=100),"full access", " ")</f>
        <v>full access</v>
      </c>
      <c r="K402" s="2">
        <v>0</v>
      </c>
      <c r="L402" s="2">
        <v>0</v>
      </c>
      <c r="M402" s="2">
        <v>0</v>
      </c>
      <c r="N402" s="2">
        <v>100</v>
      </c>
      <c r="O402" s="2">
        <f>IFERROR(ROUND(N402,0),"null")</f>
        <v>100</v>
      </c>
      <c r="P402" s="2" t="str">
        <f>IF(AND(A402=A403,O402=100,O403=100),"full access"," ")</f>
        <v>full access</v>
      </c>
      <c r="Q402" s="2">
        <f>IFERROR(IF(A403=A402,((N402-N403)/(C402-C403)),""),"null")</f>
        <v>0</v>
      </c>
      <c r="R402" s="2">
        <v>0</v>
      </c>
      <c r="S402" s="2">
        <v>0</v>
      </c>
      <c r="T402" s="2">
        <v>0</v>
      </c>
      <c r="U402" s="2">
        <v>100</v>
      </c>
      <c r="V402" s="2">
        <f>IFERROR(ROUND(U402,0),"null")</f>
        <v>100</v>
      </c>
      <c r="W402" s="2" t="str">
        <f>IF(AND(A402=A403,V402=100,V403=100),"full access","")</f>
        <v>full access</v>
      </c>
      <c r="X402" s="2">
        <f>IFERROR(IF(A403=A402,((U402-U403)/(C402-C403)),""),"null")</f>
        <v>0</v>
      </c>
      <c r="Y402" s="2">
        <v>0</v>
      </c>
      <c r="Z402" s="2">
        <v>0</v>
      </c>
      <c r="AA402" s="2">
        <v>0</v>
      </c>
      <c r="AB402" s="2">
        <f>IFERROR(IF(A403=A402, Q402-X402, ""), "null")</f>
        <v>0</v>
      </c>
    </row>
    <row r="403" spans="1:28">
      <c r="A403" s="2" t="s">
        <v>252</v>
      </c>
      <c r="B403" s="2" t="str">
        <f>VLOOKUP(A403,Regions!A:B,2,0)</f>
        <v>Europe &amp; Central Asia</v>
      </c>
      <c r="C403" s="2">
        <v>2020</v>
      </c>
      <c r="D403" s="2" t="str">
        <f>IF(A404=A403,ABS(C404-C403),"")</f>
        <v/>
      </c>
      <c r="E403" s="2" t="str">
        <f>IFERROR(IF(A404=A403,((H403-H404)/(C403-C404)), ""), "null")</f>
        <v/>
      </c>
      <c r="F403" s="2">
        <v>8654.6181639999995</v>
      </c>
      <c r="G403" s="2">
        <v>73.915000919999997</v>
      </c>
      <c r="H403" s="2">
        <v>100.0000028</v>
      </c>
      <c r="I403" s="2">
        <f>IFERROR(ROUND(H403,0),"null")</f>
        <v>100</v>
      </c>
      <c r="J403" s="2" t="str">
        <f>IF(AND(A404=A403,I403=100,I404=100),"full access", " ")</f>
        <v xml:space="preserve"> </v>
      </c>
      <c r="K403" s="2">
        <v>0</v>
      </c>
      <c r="L403" s="2">
        <v>0</v>
      </c>
      <c r="M403" s="2">
        <v>0</v>
      </c>
      <c r="N403" s="2">
        <v>100</v>
      </c>
      <c r="O403" s="2">
        <f>IFERROR(ROUND(N403,0),"null")</f>
        <v>100</v>
      </c>
      <c r="P403" s="2" t="str">
        <f>IF(AND(A403=A404,O403=100,O404=100),"full access"," ")</f>
        <v xml:space="preserve"> </v>
      </c>
      <c r="Q403" s="2" t="str">
        <f>IFERROR(IF(A404=A403,((N403-N404)/(C403-C404)),""),"null")</f>
        <v/>
      </c>
      <c r="R403" s="2">
        <v>0</v>
      </c>
      <c r="S403" s="2">
        <v>0</v>
      </c>
      <c r="T403" s="2">
        <v>0</v>
      </c>
      <c r="U403" s="2">
        <v>100</v>
      </c>
      <c r="V403" s="2">
        <f>IFERROR(ROUND(U403,0),"null")</f>
        <v>100</v>
      </c>
      <c r="W403" s="2" t="str">
        <f>IF(AND(A403=A404,V403=100,V404=100),"full access","")</f>
        <v/>
      </c>
      <c r="X403" s="2" t="str">
        <f>IFERROR(IF(A404=A403,((U403-U404)/(C403-C404)),""),"null")</f>
        <v/>
      </c>
      <c r="Y403" s="2">
        <v>0</v>
      </c>
      <c r="Z403" s="2">
        <v>0</v>
      </c>
      <c r="AA403" s="2">
        <v>0</v>
      </c>
      <c r="AB403" s="2" t="str">
        <f>IFERROR(IF(A404=A403, Q403-X403, ""), "null")</f>
        <v/>
      </c>
    </row>
    <row r="404" spans="1:28">
      <c r="A404" s="2" t="s">
        <v>253</v>
      </c>
      <c r="B404" s="2" t="str">
        <f>VLOOKUP(A404,Regions!A:B,2,0)</f>
        <v>Middle East &amp; North Africa</v>
      </c>
      <c r="C404" s="2">
        <v>2015</v>
      </c>
      <c r="D404" s="2">
        <f>IF(A405=A404,ABS(C405-C404),"")</f>
        <v>5</v>
      </c>
      <c r="E404" s="2">
        <f>IFERROR(IF(A405=A404,((H404-H405)/(C404-C405)), ""), "null")</f>
        <v>8.3249139999998084E-2</v>
      </c>
      <c r="F404" s="2">
        <v>17997.410159999999</v>
      </c>
      <c r="G404" s="2">
        <v>52.167999270000003</v>
      </c>
      <c r="H404" s="2">
        <v>93.509611480000004</v>
      </c>
      <c r="I404" s="2">
        <f>IFERROR(ROUND(H404,0),"null")</f>
        <v>94</v>
      </c>
      <c r="J404" s="2" t="str">
        <f>IF(AND(A405=A404,I404=100,I405=100),"full access", " ")</f>
        <v xml:space="preserve"> </v>
      </c>
      <c r="K404" s="2">
        <v>5.9680836279999996</v>
      </c>
      <c r="L404" s="2">
        <v>0.52230488829999999</v>
      </c>
      <c r="M404" s="2">
        <v>0</v>
      </c>
      <c r="N404" s="2">
        <v>91.385705099999996</v>
      </c>
      <c r="O404" s="2">
        <f>IFERROR(ROUND(N404,0),"null")</f>
        <v>91</v>
      </c>
      <c r="P404" s="2" t="str">
        <f>IF(AND(A404=A405,O404=100,O405=100),"full access"," ")</f>
        <v xml:space="preserve"> </v>
      </c>
      <c r="Q404" s="2">
        <f>IFERROR(IF(A405=A404,((N404-N405)/(C404-C405)),""),"null")</f>
        <v>0.13940798000000143</v>
      </c>
      <c r="R404" s="2">
        <v>7.8573236560000002</v>
      </c>
      <c r="S404" s="2">
        <v>0.75697124390000003</v>
      </c>
      <c r="T404" s="2">
        <v>0</v>
      </c>
      <c r="U404" s="2">
        <v>95.456987190000007</v>
      </c>
      <c r="V404" s="2">
        <f>IFERROR(ROUND(U404,0),"null")</f>
        <v>95</v>
      </c>
      <c r="W404" s="2" t="str">
        <f>IF(AND(A404=A405,V404=100,V405=100),"full access","")</f>
        <v/>
      </c>
      <c r="X404" s="2">
        <f>IFERROR(IF(A405=A404,((U404-U405)/(C404-C405)),""),"null")</f>
        <v>-1.0364566000001218E-2</v>
      </c>
      <c r="Y404" s="2">
        <v>4.2358697369999998</v>
      </c>
      <c r="Z404" s="2">
        <v>0.30714306949999998</v>
      </c>
      <c r="AA404" s="2">
        <v>0</v>
      </c>
      <c r="AB404" s="2">
        <f>IFERROR(IF(A405=A404, Q404-X404, ""), "null")</f>
        <v>0.14977254600000264</v>
      </c>
    </row>
    <row r="405" spans="1:28">
      <c r="A405" s="2" t="s">
        <v>253</v>
      </c>
      <c r="B405" s="2" t="str">
        <f>VLOOKUP(A405,Regions!A:B,2,0)</f>
        <v>Middle East &amp; North Africa</v>
      </c>
      <c r="C405" s="2">
        <v>2020</v>
      </c>
      <c r="D405" s="2" t="str">
        <f>IF(A406=A405,ABS(C406-C405),"")</f>
        <v/>
      </c>
      <c r="E405" s="2" t="str">
        <f>IFERROR(IF(A406=A405,((H405-H406)/(C405-C406)), ""), "null")</f>
        <v/>
      </c>
      <c r="F405" s="2">
        <v>17500.65625</v>
      </c>
      <c r="G405" s="2">
        <v>55.475002289999999</v>
      </c>
      <c r="H405" s="2">
        <v>93.925857179999994</v>
      </c>
      <c r="I405" s="2">
        <f>IFERROR(ROUND(H405,0),"null")</f>
        <v>94</v>
      </c>
      <c r="J405" s="2" t="str">
        <f>IF(AND(A406=A405,I405=100,I406=100),"full access", " ")</f>
        <v xml:space="preserve"> </v>
      </c>
      <c r="K405" s="2">
        <v>5.8737307679999997</v>
      </c>
      <c r="L405" s="2">
        <v>0.20041205419999999</v>
      </c>
      <c r="M405" s="2">
        <v>0</v>
      </c>
      <c r="N405" s="2">
        <v>92.082745000000003</v>
      </c>
      <c r="O405" s="2">
        <f>IFERROR(ROUND(N405,0),"null")</f>
        <v>92</v>
      </c>
      <c r="P405" s="2" t="str">
        <f>IF(AND(A405=A406,O405=100,O406=100),"full access"," ")</f>
        <v xml:space="preserve"> </v>
      </c>
      <c r="Q405" s="2" t="str">
        <f>IFERROR(IF(A406=A405,((N405-N406)/(C405-C406)),""),"null")</f>
        <v/>
      </c>
      <c r="R405" s="2">
        <v>7.9172549999999999</v>
      </c>
      <c r="S405" s="2">
        <v>0</v>
      </c>
      <c r="T405" s="2">
        <v>0</v>
      </c>
      <c r="U405" s="2">
        <v>95.405164360000001</v>
      </c>
      <c r="V405" s="2">
        <f>IFERROR(ROUND(U405,0),"null")</f>
        <v>95</v>
      </c>
      <c r="W405" s="2" t="str">
        <f>IF(AND(A405=A406,V405=100,V406=100),"full access","")</f>
        <v/>
      </c>
      <c r="X405" s="2" t="str">
        <f>IFERROR(IF(A406=A405,((U405-U406)/(C405-C406)),""),"null")</f>
        <v/>
      </c>
      <c r="Y405" s="2">
        <v>4.2335701170000002</v>
      </c>
      <c r="Z405" s="2">
        <v>0.36126552499999998</v>
      </c>
      <c r="AA405" s="2">
        <v>0</v>
      </c>
      <c r="AB405" s="2" t="str">
        <f>IFERROR(IF(A406=A405, Q405-X405, ""), "null")</f>
        <v/>
      </c>
    </row>
    <row r="406" spans="1:28">
      <c r="A406" s="2" t="s">
        <v>254</v>
      </c>
      <c r="B406" s="2" t="str">
        <f>VLOOKUP(A406,Regions!A:B,2,0)</f>
        <v>Europe &amp; Central Asia</v>
      </c>
      <c r="C406" s="2">
        <v>2015</v>
      </c>
      <c r="D406" s="2">
        <f>IF(A407=A406,ABS(C407-C406),"")</f>
        <v>5</v>
      </c>
      <c r="E406" s="2">
        <f>IFERROR(IF(A407=A406,((H406-H407)/(C406-C407)), ""), "null")</f>
        <v>1.1225839019999995</v>
      </c>
      <c r="F406" s="2">
        <v>8454.0185550000006</v>
      </c>
      <c r="G406" s="2">
        <v>26.742000579999999</v>
      </c>
      <c r="H406" s="2">
        <v>76.239495509999998</v>
      </c>
      <c r="I406" s="2">
        <f>IFERROR(ROUND(H406,0),"null")</f>
        <v>76</v>
      </c>
      <c r="J406" s="2" t="str">
        <f>IF(AND(A407=A406,I406=100,I407=100),"full access", " ")</f>
        <v xml:space="preserve"> </v>
      </c>
      <c r="K406" s="2">
        <v>3.050011091</v>
      </c>
      <c r="L406" s="2">
        <v>3.944733748</v>
      </c>
      <c r="M406" s="2">
        <v>16.76575965</v>
      </c>
      <c r="N406" s="2">
        <v>69.552182060000007</v>
      </c>
      <c r="O406" s="2">
        <f>IFERROR(ROUND(N406,0),"null")</f>
        <v>70</v>
      </c>
      <c r="P406" s="2" t="str">
        <f>IF(AND(A406=A407,O406=100,O407=100),"full access"," ")</f>
        <v xml:space="preserve"> </v>
      </c>
      <c r="Q406" s="2">
        <f>IFERROR(IF(A407=A406,((N406-N407)/(C406-C407)),""),"null")</f>
        <v>1.4182834279999981</v>
      </c>
      <c r="R406" s="2">
        <v>3.681021887</v>
      </c>
      <c r="S406" s="2">
        <v>4.8574855120000002</v>
      </c>
      <c r="T406" s="2">
        <v>21.90931054</v>
      </c>
      <c r="U406" s="2">
        <v>94.558955389999994</v>
      </c>
      <c r="V406" s="2">
        <f>IFERROR(ROUND(U406,0),"null")</f>
        <v>95</v>
      </c>
      <c r="W406" s="2" t="str">
        <f>IF(AND(A406=A407,V406=100,V407=100),"full access","")</f>
        <v/>
      </c>
      <c r="X406" s="2">
        <f>IFERROR(IF(A407=A406,((U406-U407)/(C406-C407)),""),"null")</f>
        <v>0.20433369400000173</v>
      </c>
      <c r="Y406" s="2">
        <v>1.321396987</v>
      </c>
      <c r="Z406" s="2">
        <v>1.444318955</v>
      </c>
      <c r="AA406" s="2">
        <v>2.6753286630000002</v>
      </c>
      <c r="AB406" s="2">
        <f>IFERROR(IF(A407=A406, Q406-X406, ""), "null")</f>
        <v>1.2139497339999963</v>
      </c>
    </row>
    <row r="407" spans="1:28">
      <c r="A407" s="2" t="s">
        <v>254</v>
      </c>
      <c r="B407" s="2" t="str">
        <f>VLOOKUP(A407,Regions!A:B,2,0)</f>
        <v>Europe &amp; Central Asia</v>
      </c>
      <c r="C407" s="2">
        <v>2020</v>
      </c>
      <c r="D407" s="2" t="str">
        <f>IF(A408=A407,ABS(C408-C407),"")</f>
        <v/>
      </c>
      <c r="E407" s="2" t="str">
        <f>IFERROR(IF(A408=A407,((H407-H408)/(C407-C408)), ""), "null")</f>
        <v/>
      </c>
      <c r="F407" s="2">
        <v>9537.6416019999997</v>
      </c>
      <c r="G407" s="2">
        <v>27.505998609999999</v>
      </c>
      <c r="H407" s="2">
        <v>81.852415019999995</v>
      </c>
      <c r="I407" s="2">
        <f>IFERROR(ROUND(H407,0),"null")</f>
        <v>82</v>
      </c>
      <c r="J407" s="2" t="str">
        <f>IF(AND(A408=A407,I407=100,I408=100),"full access", " ")</f>
        <v xml:space="preserve"> </v>
      </c>
      <c r="K407" s="2">
        <v>2.5683639349999998</v>
      </c>
      <c r="L407" s="2">
        <v>3.4218570050000001</v>
      </c>
      <c r="M407" s="2">
        <v>12.157364039999999</v>
      </c>
      <c r="N407" s="2">
        <v>76.643599199999997</v>
      </c>
      <c r="O407" s="2">
        <f>IFERROR(ROUND(N407,0),"null")</f>
        <v>77</v>
      </c>
      <c r="P407" s="2" t="str">
        <f>IF(AND(A407=A408,O407=100,O408=100),"full access"," ")</f>
        <v xml:space="preserve"> </v>
      </c>
      <c r="Q407" s="2" t="str">
        <f>IFERROR(IF(A408=A407,((N407-N408)/(C407-C408)),""),"null")</f>
        <v/>
      </c>
      <c r="R407" s="2">
        <v>3.2071439279999998</v>
      </c>
      <c r="S407" s="2">
        <v>4.1407069480000001</v>
      </c>
      <c r="T407" s="2">
        <v>16.00854992</v>
      </c>
      <c r="U407" s="2">
        <v>95.580623860000003</v>
      </c>
      <c r="V407" s="2">
        <f>IFERROR(ROUND(U407,0),"null")</f>
        <v>96</v>
      </c>
      <c r="W407" s="2" t="str">
        <f>IF(AND(A407=A408,V407=100,V408=100),"full access","")</f>
        <v/>
      </c>
      <c r="X407" s="2" t="str">
        <f>IFERROR(IF(A408=A407,((U407-U408)/(C407-C408)),""),"null")</f>
        <v/>
      </c>
      <c r="Y407" s="2">
        <v>0.88481447629999999</v>
      </c>
      <c r="Z407" s="2">
        <v>1.5272683229999999</v>
      </c>
      <c r="AA407" s="2">
        <v>2.0072933389999998</v>
      </c>
      <c r="AB407" s="2" t="str">
        <f>IFERROR(IF(A408=A407, Q407-X407, ""), "null")</f>
        <v/>
      </c>
    </row>
    <row r="408" spans="1:28">
      <c r="A408" s="2" t="s">
        <v>255</v>
      </c>
      <c r="B408" s="2" t="str">
        <f>VLOOKUP(A408,Regions!A:B,2,0)</f>
        <v>East Asia &amp; Pacific</v>
      </c>
      <c r="C408" s="2">
        <v>2015</v>
      </c>
      <c r="D408" s="2">
        <f>IF(A409=A408,ABS(C409-C408),"")</f>
        <v>5</v>
      </c>
      <c r="E408" s="2">
        <f>IFERROR(IF(A409=A408,((H408-H409)/(C408-C409)), ""), "null")</f>
        <v>0.14816588399999944</v>
      </c>
      <c r="F408" s="2">
        <v>68714.515629999994</v>
      </c>
      <c r="G408" s="2">
        <v>47.694004059999997</v>
      </c>
      <c r="H408" s="2">
        <v>99.259170580000003</v>
      </c>
      <c r="I408" s="2">
        <f>IFERROR(ROUND(H408,0),"null")</f>
        <v>99</v>
      </c>
      <c r="J408" s="2" t="str">
        <f>IF(AND(A409=A408,I408=100,I409=100),"full access", " ")</f>
        <v xml:space="preserve"> </v>
      </c>
      <c r="K408" s="2">
        <v>0.2176525852</v>
      </c>
      <c r="L408" s="2">
        <v>0.1822513237</v>
      </c>
      <c r="M408" s="2">
        <v>0.34092551430000001</v>
      </c>
      <c r="N408" s="2">
        <v>98.879516710000004</v>
      </c>
      <c r="O408" s="2">
        <f>IFERROR(ROUND(N408,0),"null")</f>
        <v>99</v>
      </c>
      <c r="P408" s="2" t="str">
        <f>IF(AND(A408=A409,O408=100,O409=100),"full access"," ")</f>
        <v xml:space="preserve"> </v>
      </c>
      <c r="Q408" s="2">
        <f>IFERROR(IF(A409=A408,((N408-N409)/(C408-C409)),""),"null")</f>
        <v>0.22409665799999914</v>
      </c>
      <c r="R408" s="2">
        <v>0.2456716052</v>
      </c>
      <c r="S408" s="2">
        <v>0.22302119049999999</v>
      </c>
      <c r="T408" s="2">
        <v>0.65179049</v>
      </c>
      <c r="U408" s="2">
        <v>99.675536840000007</v>
      </c>
      <c r="V408" s="2">
        <f>IFERROR(ROUND(U408,0),"null")</f>
        <v>100</v>
      </c>
      <c r="W408" s="2" t="str">
        <f>IF(AND(A408=A409,V408=100,V409=100),"full access","")</f>
        <v>full access</v>
      </c>
      <c r="X408" s="2">
        <f>IFERROR(IF(A409=A408,((U408-U409)/(C408-C409)),""),"null")</f>
        <v>6.4892631999998687E-2</v>
      </c>
      <c r="Y408" s="2">
        <v>0.1869241354</v>
      </c>
      <c r="Z408" s="2">
        <v>0.1375390245</v>
      </c>
      <c r="AA408" s="2">
        <v>0</v>
      </c>
      <c r="AB408" s="2">
        <f>IFERROR(IF(A409=A408, Q408-X408, ""), "null")</f>
        <v>0.15920402600000044</v>
      </c>
    </row>
    <row r="409" spans="1:28">
      <c r="A409" s="2" t="s">
        <v>255</v>
      </c>
      <c r="B409" s="2" t="str">
        <f>VLOOKUP(A409,Regions!A:B,2,0)</f>
        <v>East Asia &amp; Pacific</v>
      </c>
      <c r="C409" s="2">
        <v>2020</v>
      </c>
      <c r="D409" s="2" t="str">
        <f>IF(A410=A409,ABS(C410-C409),"")</f>
        <v/>
      </c>
      <c r="E409" s="2" t="str">
        <f>IFERROR(IF(A410=A409,((H409-H410)/(C409-C410)), ""), "null")</f>
        <v/>
      </c>
      <c r="F409" s="2">
        <v>69799.976559999996</v>
      </c>
      <c r="G409" s="2">
        <v>51.430000309999997</v>
      </c>
      <c r="H409" s="2">
        <v>100</v>
      </c>
      <c r="I409" s="2">
        <f>IFERROR(ROUND(H409,0),"null")</f>
        <v>100</v>
      </c>
      <c r="J409" s="2" t="str">
        <f>IF(AND(A410=A409,I409=100,I410=100),"full access", " ")</f>
        <v xml:space="preserve"> </v>
      </c>
      <c r="K409" s="2">
        <v>0</v>
      </c>
      <c r="L409" s="2">
        <v>0</v>
      </c>
      <c r="M409" s="2">
        <v>0</v>
      </c>
      <c r="N409" s="2">
        <v>100</v>
      </c>
      <c r="O409" s="2">
        <f>IFERROR(ROUND(N409,0),"null")</f>
        <v>100</v>
      </c>
      <c r="P409" s="2" t="str">
        <f>IF(AND(A409=A410,O409=100,O410=100),"full access"," ")</f>
        <v xml:space="preserve"> </v>
      </c>
      <c r="Q409" s="2" t="str">
        <f>IFERROR(IF(A410=A409,((N409-N410)/(C409-C410)),""),"null")</f>
        <v/>
      </c>
      <c r="R409" s="2">
        <v>0</v>
      </c>
      <c r="S409" s="2">
        <v>0</v>
      </c>
      <c r="T409" s="2">
        <v>0</v>
      </c>
      <c r="U409" s="2">
        <v>100</v>
      </c>
      <c r="V409" s="2">
        <f>IFERROR(ROUND(U409,0),"null")</f>
        <v>100</v>
      </c>
      <c r="W409" s="2" t="str">
        <f>IF(AND(A409=A410,V409=100,V410=100),"full access","")</f>
        <v/>
      </c>
      <c r="X409" s="2" t="str">
        <f>IFERROR(IF(A410=A409,((U409-U410)/(C409-C410)),""),"null")</f>
        <v/>
      </c>
      <c r="Y409" s="2">
        <v>0</v>
      </c>
      <c r="Z409" s="2">
        <v>0</v>
      </c>
      <c r="AA409" s="2">
        <v>0</v>
      </c>
      <c r="AB409" s="2" t="str">
        <f>IFERROR(IF(A410=A409, Q409-X409, ""), "null")</f>
        <v/>
      </c>
    </row>
    <row r="410" spans="1:28">
      <c r="A410" s="2" t="s">
        <v>256</v>
      </c>
      <c r="B410" s="2" t="str">
        <f>VLOOKUP(A410,Regions!A:B,2,0)</f>
        <v>East Asia &amp; Pacific</v>
      </c>
      <c r="C410" s="2">
        <v>2015</v>
      </c>
      <c r="D410" s="2">
        <f>IF(A411=A410,ABS(C411-C410),"")</f>
        <v>5</v>
      </c>
      <c r="E410" s="2">
        <f>IFERROR(IF(A411=A410,((H410-H411)/(C410-C411)), ""), "null")</f>
        <v>2.0490994979999981</v>
      </c>
      <c r="F410" s="2">
        <v>1196.2939449999999</v>
      </c>
      <c r="G410" s="2">
        <v>29.489999770000001</v>
      </c>
      <c r="H410" s="2">
        <v>75.250103710000005</v>
      </c>
      <c r="I410" s="2">
        <f>IFERROR(ROUND(H410,0),"null")</f>
        <v>75</v>
      </c>
      <c r="J410" s="2" t="str">
        <f>IF(AND(A411=A410,I410=100,I411=100),"full access", " ")</f>
        <v xml:space="preserve"> </v>
      </c>
      <c r="K410" s="2">
        <v>3.486316247</v>
      </c>
      <c r="L410" s="2">
        <v>16.460746719999999</v>
      </c>
      <c r="M410" s="2">
        <v>4.8028333229999998</v>
      </c>
      <c r="N410" s="2">
        <v>68.95938975</v>
      </c>
      <c r="O410" s="2">
        <f>IFERROR(ROUND(N410,0),"null")</f>
        <v>69</v>
      </c>
      <c r="P410" s="2" t="str">
        <f>IF(AND(A410=A411,O410=100,O411=100),"full access"," ")</f>
        <v xml:space="preserve"> </v>
      </c>
      <c r="Q410" s="2">
        <f>IFERROR(IF(A411=A410,((N410-N411)/(C410-C411)),""),"null")</f>
        <v>2.3056811740000001</v>
      </c>
      <c r="R410" s="2">
        <v>4.2085077100000001</v>
      </c>
      <c r="S410" s="2">
        <v>20.19524109</v>
      </c>
      <c r="T410" s="2">
        <v>6.6368614499999996</v>
      </c>
      <c r="U410" s="2">
        <v>90.291081230000003</v>
      </c>
      <c r="V410" s="2">
        <f>IFERROR(ROUND(U410,0),"null")</f>
        <v>90</v>
      </c>
      <c r="W410" s="2" t="str">
        <f>IF(AND(A410=A411,V410=100,V411=100),"full access","")</f>
        <v/>
      </c>
      <c r="X410" s="2">
        <f>IFERROR(IF(A411=A410,((U410-U411)/(C410-C411)),""),"null")</f>
        <v>1.2371753380000001</v>
      </c>
      <c r="Y410" s="2">
        <v>1.759571234</v>
      </c>
      <c r="Z410" s="2">
        <v>7.5316383</v>
      </c>
      <c r="AA410" s="2">
        <v>0.41770924009999999</v>
      </c>
      <c r="AB410" s="2">
        <f>IFERROR(IF(A411=A410, Q410-X410, ""), "null")</f>
        <v>1.0685058359999999</v>
      </c>
    </row>
    <row r="411" spans="1:28">
      <c r="A411" s="2" t="s">
        <v>256</v>
      </c>
      <c r="B411" s="2" t="str">
        <f>VLOOKUP(A411,Regions!A:B,2,0)</f>
        <v>East Asia &amp; Pacific</v>
      </c>
      <c r="C411" s="2">
        <v>2020</v>
      </c>
      <c r="D411" s="2" t="str">
        <f>IF(A412=A411,ABS(C412-C411),"")</f>
        <v/>
      </c>
      <c r="E411" s="2" t="str">
        <f>IFERROR(IF(A412=A411,((H411-H412)/(C411-C412)), ""), "null")</f>
        <v/>
      </c>
      <c r="F411" s="2">
        <v>1318.4420170000001</v>
      </c>
      <c r="G411" s="2">
        <v>31.31999969</v>
      </c>
      <c r="H411" s="2">
        <v>85.495601199999996</v>
      </c>
      <c r="I411" s="2">
        <f>IFERROR(ROUND(H411,0),"null")</f>
        <v>85</v>
      </c>
      <c r="J411" s="2" t="str">
        <f>IF(AND(A412=A411,I411=100,I412=100),"full access", " ")</f>
        <v xml:space="preserve"> </v>
      </c>
      <c r="K411" s="2">
        <v>1.88586597</v>
      </c>
      <c r="L411" s="2">
        <v>8.3600293969999999</v>
      </c>
      <c r="M411" s="2">
        <v>4.2585034329999996</v>
      </c>
      <c r="N411" s="2">
        <v>80.48779562</v>
      </c>
      <c r="O411" s="2">
        <f>IFERROR(ROUND(N411,0),"null")</f>
        <v>80</v>
      </c>
      <c r="P411" s="2" t="str">
        <f>IF(AND(A411=A412,O411=100,O412=100),"full access"," ")</f>
        <v xml:space="preserve"> </v>
      </c>
      <c r="Q411" s="2" t="str">
        <f>IFERROR(IF(A412=A411,((N411-N412)/(C411-C412)),""),"null")</f>
        <v/>
      </c>
      <c r="R411" s="2">
        <v>2.0493646750000001</v>
      </c>
      <c r="S411" s="2">
        <v>11.26233968</v>
      </c>
      <c r="T411" s="2">
        <v>6.2005000179999996</v>
      </c>
      <c r="U411" s="2">
        <v>96.476957920000004</v>
      </c>
      <c r="V411" s="2">
        <f>IFERROR(ROUND(U411,0),"null")</f>
        <v>96</v>
      </c>
      <c r="W411" s="2" t="str">
        <f>IF(AND(A411=A412,V411=100,V412=100),"full access","")</f>
        <v/>
      </c>
      <c r="X411" s="2" t="str">
        <f>IFERROR(IF(A412=A411,((U411-U412)/(C411-C412)),""),"null")</f>
        <v/>
      </c>
      <c r="Y411" s="2">
        <v>1.527338152</v>
      </c>
      <c r="Z411" s="2">
        <v>1.995703929</v>
      </c>
      <c r="AA411" s="2">
        <v>0</v>
      </c>
      <c r="AB411" s="2" t="str">
        <f>IFERROR(IF(A412=A411, Q411-X411, ""), "null")</f>
        <v/>
      </c>
    </row>
    <row r="412" spans="1:28">
      <c r="A412" s="2" t="s">
        <v>257</v>
      </c>
      <c r="B412" s="2" t="str">
        <f>VLOOKUP(A412,Regions!A:B,2,0)</f>
        <v>Sub-Saharan Africa</v>
      </c>
      <c r="C412" s="2">
        <v>2015</v>
      </c>
      <c r="D412" s="2">
        <f>IF(A413=A412,ABS(C413-C412),"")</f>
        <v>5</v>
      </c>
      <c r="E412" s="2">
        <f>IFERROR(IF(A413=A412,((H412-H413)/(C412-C413)), ""), "null")</f>
        <v>0.98931874799999941</v>
      </c>
      <c r="F412" s="2">
        <v>7323.1621089999999</v>
      </c>
      <c r="G412" s="2">
        <v>40.099998470000003</v>
      </c>
      <c r="H412" s="2">
        <v>63.637126350000003</v>
      </c>
      <c r="I412" s="2">
        <f>IFERROR(ROUND(H412,0),"null")</f>
        <v>64</v>
      </c>
      <c r="J412" s="2" t="str">
        <f>IF(AND(A413=A412,I412=100,I413=100),"full access", " ")</f>
        <v xml:space="preserve"> </v>
      </c>
      <c r="K412" s="2">
        <v>5.6657679649999997</v>
      </c>
      <c r="L412" s="2">
        <v>17.17891539</v>
      </c>
      <c r="M412" s="2">
        <v>13.51819029</v>
      </c>
      <c r="N412" s="2">
        <v>47.242183279999999</v>
      </c>
      <c r="O412" s="2">
        <f>IFERROR(ROUND(N412,0),"null")</f>
        <v>47</v>
      </c>
      <c r="P412" s="2" t="str">
        <f>IF(AND(A412=A413,O412=100,O413=100),"full access"," ")</f>
        <v xml:space="preserve"> </v>
      </c>
      <c r="Q412" s="2">
        <f>IFERROR(IF(A413=A412,((N412-N413)/(C412-C413)),""),"null")</f>
        <v>0.97507389400000055</v>
      </c>
      <c r="R412" s="2">
        <v>7.3346522839999997</v>
      </c>
      <c r="S412" s="2">
        <v>23.470036180000001</v>
      </c>
      <c r="T412" s="2">
        <v>21.953128249999999</v>
      </c>
      <c r="U412" s="2">
        <v>88.127329700000004</v>
      </c>
      <c r="V412" s="2">
        <f>IFERROR(ROUND(U412,0),"null")</f>
        <v>88</v>
      </c>
      <c r="W412" s="2" t="str">
        <f>IF(AND(A412=A413,V412=100,V413=100),"full access","")</f>
        <v/>
      </c>
      <c r="X412" s="2">
        <f>IFERROR(IF(A413=A412,((U412-U413)/(C412-C413)),""),"null")</f>
        <v>0.49251606199999853</v>
      </c>
      <c r="Y412" s="2">
        <v>3.1728458380000002</v>
      </c>
      <c r="Z412" s="2">
        <v>7.7814550410000001</v>
      </c>
      <c r="AA412" s="2">
        <v>0.91836941770000002</v>
      </c>
      <c r="AB412" s="2">
        <f>IFERROR(IF(A413=A412, Q412-X412, ""), "null")</f>
        <v>0.48255783200000202</v>
      </c>
    </row>
    <row r="413" spans="1:28">
      <c r="A413" s="2" t="s">
        <v>257</v>
      </c>
      <c r="B413" s="2" t="str">
        <f>VLOOKUP(A413,Regions!A:B,2,0)</f>
        <v>Sub-Saharan Africa</v>
      </c>
      <c r="C413" s="2">
        <v>2020</v>
      </c>
      <c r="D413" s="2" t="str">
        <f>IF(A414=A413,ABS(C414-C413),"")</f>
        <v/>
      </c>
      <c r="E413" s="2" t="str">
        <f>IFERROR(IF(A414=A413,((H413-H414)/(C413-C414)), ""), "null")</f>
        <v/>
      </c>
      <c r="F413" s="2">
        <v>8278.7373050000006</v>
      </c>
      <c r="G413" s="2">
        <v>42.799999239999998</v>
      </c>
      <c r="H413" s="2">
        <v>68.58372009</v>
      </c>
      <c r="I413" s="2">
        <f>IFERROR(ROUND(H413,0),"null")</f>
        <v>69</v>
      </c>
      <c r="J413" s="2" t="str">
        <f>IF(AND(A414=A413,I413=100,I414=100),"full access", " ")</f>
        <v xml:space="preserve"> </v>
      </c>
      <c r="K413" s="2">
        <v>6.065434765</v>
      </c>
      <c r="L413" s="2">
        <v>14.16432245</v>
      </c>
      <c r="M413" s="2">
        <v>11.18652269</v>
      </c>
      <c r="N413" s="2">
        <v>52.117552750000002</v>
      </c>
      <c r="O413" s="2">
        <f>IFERROR(ROUND(N413,0),"null")</f>
        <v>52</v>
      </c>
      <c r="P413" s="2" t="str">
        <f>IF(AND(A413=A414,O413=100,O414=100),"full access"," ")</f>
        <v xml:space="preserve"> </v>
      </c>
      <c r="Q413" s="2" t="str">
        <f>IFERROR(IF(A414=A413,((N413-N414)/(C413-C414)),""),"null")</f>
        <v/>
      </c>
      <c r="R413" s="2">
        <v>8.1875420190000003</v>
      </c>
      <c r="S413" s="2">
        <v>20.7910842</v>
      </c>
      <c r="T413" s="2">
        <v>18.90382103</v>
      </c>
      <c r="U413" s="2">
        <v>90.589910009999997</v>
      </c>
      <c r="V413" s="2">
        <f>IFERROR(ROUND(U413,0),"null")</f>
        <v>91</v>
      </c>
      <c r="W413" s="2" t="str">
        <f>IF(AND(A413=A414,V413=100,V414=100),"full access","")</f>
        <v/>
      </c>
      <c r="X413" s="2" t="str">
        <f>IFERROR(IF(A414=A413,((U413-U414)/(C413-C414)),""),"null")</f>
        <v/>
      </c>
      <c r="Y413" s="2">
        <v>3.2293480560000001</v>
      </c>
      <c r="Z413" s="2">
        <v>5.3079905280000004</v>
      </c>
      <c r="AA413" s="2">
        <v>0.87275140490000003</v>
      </c>
      <c r="AB413" s="2" t="str">
        <f>IFERROR(IF(A414=A413, Q413-X413, ""), "null")</f>
        <v/>
      </c>
    </row>
    <row r="414" spans="1:28">
      <c r="A414" s="2" t="s">
        <v>258</v>
      </c>
      <c r="B414" s="2" t="str">
        <f>VLOOKUP(A414,Regions!A:B,2,0)</f>
        <v>East Asia &amp; Pacific</v>
      </c>
      <c r="C414" s="2">
        <v>2015</v>
      </c>
      <c r="D414" s="2">
        <f>IF(A415=A414,ABS(C415-C414),"")</f>
        <v>5</v>
      </c>
      <c r="E414" s="2">
        <f>IFERROR(IF(A415=A414,((H414-H415)/(C414-C415)), ""), "null")</f>
        <v>5.0056129999998686E-2</v>
      </c>
      <c r="F414" s="2">
        <v>1.2469999789999999</v>
      </c>
      <c r="G414" s="2">
        <v>0</v>
      </c>
      <c r="H414" s="2">
        <v>99.457396000000003</v>
      </c>
      <c r="I414" s="2">
        <f>IFERROR(ROUND(H414,0),"null")</f>
        <v>99</v>
      </c>
      <c r="J414" s="2" t="str">
        <f>IF(AND(A415=A414,I414=100,I415=100),"full access", " ")</f>
        <v xml:space="preserve"> </v>
      </c>
      <c r="K414" s="2">
        <v>0</v>
      </c>
      <c r="L414" s="2">
        <v>0.54260399999999998</v>
      </c>
      <c r="M414" s="2">
        <v>0</v>
      </c>
      <c r="N414" s="2">
        <v>99.457396000000003</v>
      </c>
      <c r="O414" s="2">
        <f>IFERROR(ROUND(N414,0),"null")</f>
        <v>99</v>
      </c>
      <c r="P414" s="2" t="str">
        <f>IF(AND(A414=A415,O414=100,O415=100),"full access"," ")</f>
        <v xml:space="preserve"> </v>
      </c>
      <c r="Q414" s="2">
        <f>IFERROR(IF(A415=A414,((N414-N415)/(C414-C415)),""),"null")</f>
        <v>5.0056129999998686E-2</v>
      </c>
      <c r="R414" s="2">
        <v>0</v>
      </c>
      <c r="S414" s="2">
        <v>0.54260399999999998</v>
      </c>
      <c r="T414" s="2">
        <v>0</v>
      </c>
      <c r="U414" s="2" t="s">
        <v>45</v>
      </c>
      <c r="V414" s="2" t="str">
        <f>IFERROR(ROUND(U414,0),"null")</f>
        <v>null</v>
      </c>
      <c r="W414" s="2" t="str">
        <f>IF(AND(A414=A415,V414=100,V415=100),"full access","")</f>
        <v/>
      </c>
      <c r="X414" s="2" t="str">
        <f>IFERROR(IF(A415=A414,((U414-U415)/(C414-C415)),""),"null")</f>
        <v>null</v>
      </c>
      <c r="Y414" s="2" t="s">
        <v>45</v>
      </c>
      <c r="Z414" s="2" t="s">
        <v>45</v>
      </c>
      <c r="AA414" s="2" t="s">
        <v>45</v>
      </c>
      <c r="AB414" s="2" t="str">
        <f>IFERROR(IF(A415=A414, Q414-X414, ""), "null")</f>
        <v>null</v>
      </c>
    </row>
    <row r="415" spans="1:28">
      <c r="A415" s="2" t="s">
        <v>258</v>
      </c>
      <c r="B415" s="2" t="str">
        <f>VLOOKUP(A415,Regions!A:B,2,0)</f>
        <v>East Asia &amp; Pacific</v>
      </c>
      <c r="C415" s="2">
        <v>2020</v>
      </c>
      <c r="D415" s="2" t="str">
        <f>IF(A416=A415,ABS(C416-C415),"")</f>
        <v/>
      </c>
      <c r="E415" s="2" t="str">
        <f>IFERROR(IF(A416=A415,((H415-H416)/(C415-C416)), ""), "null")</f>
        <v/>
      </c>
      <c r="F415" s="2">
        <v>1.3500000240000001</v>
      </c>
      <c r="G415" s="2">
        <v>0</v>
      </c>
      <c r="H415" s="2">
        <v>99.707676649999996</v>
      </c>
      <c r="I415" s="2">
        <f>IFERROR(ROUND(H415,0),"null")</f>
        <v>100</v>
      </c>
      <c r="J415" s="2" t="str">
        <f>IF(AND(A416=A415,I415=100,I416=100),"full access", " ")</f>
        <v xml:space="preserve"> </v>
      </c>
      <c r="K415" s="2">
        <v>0</v>
      </c>
      <c r="L415" s="2">
        <v>0.29232334589999998</v>
      </c>
      <c r="M415" s="2">
        <v>0</v>
      </c>
      <c r="N415" s="2">
        <v>99.707676649999996</v>
      </c>
      <c r="O415" s="2">
        <f>IFERROR(ROUND(N415,0),"null")</f>
        <v>100</v>
      </c>
      <c r="P415" s="2" t="str">
        <f>IF(AND(A415=A416,O415=100,O416=100),"full access"," ")</f>
        <v xml:space="preserve"> </v>
      </c>
      <c r="Q415" s="2" t="str">
        <f>IFERROR(IF(A416=A415,((N415-N416)/(C415-C416)),""),"null")</f>
        <v/>
      </c>
      <c r="R415" s="2">
        <v>0</v>
      </c>
      <c r="S415" s="2">
        <v>0.29232334589999998</v>
      </c>
      <c r="T415" s="2">
        <v>0</v>
      </c>
      <c r="U415" s="2" t="s">
        <v>45</v>
      </c>
      <c r="V415" s="2" t="str">
        <f>IFERROR(ROUND(U415,0),"null")</f>
        <v>null</v>
      </c>
      <c r="W415" s="2" t="str">
        <f>IF(AND(A415=A416,V415=100,V416=100),"full access","")</f>
        <v/>
      </c>
      <c r="X415" s="2" t="str">
        <f>IFERROR(IF(A416=A415,((U415-U416)/(C415-C416)),""),"null")</f>
        <v/>
      </c>
      <c r="Y415" s="2" t="s">
        <v>45</v>
      </c>
      <c r="Z415" s="2" t="s">
        <v>45</v>
      </c>
      <c r="AA415" s="2" t="s">
        <v>45</v>
      </c>
      <c r="AB415" s="2" t="str">
        <f>IFERROR(IF(A416=A415, Q415-X415, ""), "null")</f>
        <v/>
      </c>
    </row>
    <row r="416" spans="1:28">
      <c r="A416" s="2" t="s">
        <v>259</v>
      </c>
      <c r="B416" s="2" t="str">
        <f>VLOOKUP(A416,Regions!A:B,2,0)</f>
        <v>East Asia &amp; Pacific</v>
      </c>
      <c r="C416" s="2">
        <v>2015</v>
      </c>
      <c r="D416" s="2">
        <f>IF(A417=A416,ABS(C417-C416),"")</f>
        <v>5</v>
      </c>
      <c r="E416" s="2">
        <f>IFERROR(IF(A417=A416,((H416-H417)/(C416-C417)), ""), "null")</f>
        <v>3.6275095999999965E-2</v>
      </c>
      <c r="F416" s="2">
        <v>100.7799988</v>
      </c>
      <c r="G416" s="2">
        <v>23.274999619999999</v>
      </c>
      <c r="H416" s="2">
        <v>98.549705349999996</v>
      </c>
      <c r="I416" s="2">
        <f>IFERROR(ROUND(H416,0),"null")</f>
        <v>99</v>
      </c>
      <c r="J416" s="2" t="str">
        <f>IF(AND(A417=A416,I416=100,I417=100),"full access", " ")</f>
        <v xml:space="preserve"> </v>
      </c>
      <c r="K416" s="2">
        <v>0.87898212229999995</v>
      </c>
      <c r="L416" s="2">
        <v>0.57131252860000004</v>
      </c>
      <c r="M416" s="2">
        <v>0</v>
      </c>
      <c r="N416" s="2">
        <v>98.393048230000005</v>
      </c>
      <c r="O416" s="2">
        <f>IFERROR(ROUND(N416,0),"null")</f>
        <v>98</v>
      </c>
      <c r="P416" s="2" t="str">
        <f>IF(AND(A416=A417,O416=100,O417=100),"full access"," ")</f>
        <v xml:space="preserve"> </v>
      </c>
      <c r="Q416" s="2">
        <f>IFERROR(IF(A417=A416,((N416-N417)/(C416-C417)),""),"null")</f>
        <v>1.5006061999997655E-2</v>
      </c>
      <c r="R416" s="2">
        <v>1.1023191240000001</v>
      </c>
      <c r="S416" s="2">
        <v>0.50463264750000003</v>
      </c>
      <c r="T416" s="2">
        <v>0</v>
      </c>
      <c r="U416" s="2">
        <v>99.066110559999998</v>
      </c>
      <c r="V416" s="2">
        <f>IFERROR(ROUND(U416,0),"null")</f>
        <v>99</v>
      </c>
      <c r="W416" s="2" t="str">
        <f>IF(AND(A416=A417,V416=100,V417=100),"full access","")</f>
        <v/>
      </c>
      <c r="X416" s="2">
        <f>IFERROR(IF(A417=A416,((U416-U417)/(C416-C417)),""),"null")</f>
        <v>0.1081095260000012</v>
      </c>
      <c r="Y416" s="2">
        <v>0.14276156700000001</v>
      </c>
      <c r="Z416" s="2">
        <v>0.79112787279999996</v>
      </c>
      <c r="AA416" s="2">
        <v>0</v>
      </c>
      <c r="AB416" s="2">
        <f>IFERROR(IF(A417=A416, Q416-X416, ""), "null")</f>
        <v>-9.310346400000355E-2</v>
      </c>
    </row>
    <row r="417" spans="1:28">
      <c r="A417" s="2" t="s">
        <v>259</v>
      </c>
      <c r="B417" s="2" t="str">
        <f>VLOOKUP(A417,Regions!A:B,2,0)</f>
        <v>East Asia &amp; Pacific</v>
      </c>
      <c r="C417" s="2">
        <v>2020</v>
      </c>
      <c r="D417" s="2" t="str">
        <f>IF(A418=A417,ABS(C418-C417),"")</f>
        <v/>
      </c>
      <c r="E417" s="2" t="str">
        <f>IFERROR(IF(A418=A417,((H417-H418)/(C417-C418)), ""), "null")</f>
        <v/>
      </c>
      <c r="F417" s="2">
        <v>105.6969986</v>
      </c>
      <c r="G417" s="2">
        <v>23.098999020000001</v>
      </c>
      <c r="H417" s="2">
        <v>98.731080829999996</v>
      </c>
      <c r="I417" s="2">
        <f>IFERROR(ROUND(H417,0),"null")</f>
        <v>99</v>
      </c>
      <c r="J417" s="2" t="str">
        <f>IF(AND(A418=A417,I417=100,I418=100),"full access", " ")</f>
        <v xml:space="preserve"> </v>
      </c>
      <c r="K417" s="2">
        <v>0.88149729619999995</v>
      </c>
      <c r="L417" s="2">
        <v>0.38742187769999997</v>
      </c>
      <c r="M417" s="2">
        <v>0</v>
      </c>
      <c r="N417" s="2">
        <v>98.468078539999993</v>
      </c>
      <c r="O417" s="2">
        <f>IFERROR(ROUND(N417,0),"null")</f>
        <v>98</v>
      </c>
      <c r="P417" s="2" t="str">
        <f>IF(AND(A417=A418,O417=100,O418=100),"full access"," ")</f>
        <v xml:space="preserve"> </v>
      </c>
      <c r="Q417" s="2" t="str">
        <f>IFERROR(IF(A418=A417,((N417-N418)/(C417-C418)),""),"null")</f>
        <v/>
      </c>
      <c r="R417" s="2">
        <v>1.103159706</v>
      </c>
      <c r="S417" s="2">
        <v>0.42876175509999997</v>
      </c>
      <c r="T417" s="2">
        <v>0</v>
      </c>
      <c r="U417" s="2">
        <v>99.606658190000005</v>
      </c>
      <c r="V417" s="2">
        <f>IFERROR(ROUND(U417,0),"null")</f>
        <v>100</v>
      </c>
      <c r="W417" s="2" t="str">
        <f>IF(AND(A417=A418,V417=100,V418=100),"full access","")</f>
        <v/>
      </c>
      <c r="X417" s="2" t="str">
        <f>IFERROR(IF(A418=A417,((U417-U418)/(C417-C418)),""),"null")</f>
        <v/>
      </c>
      <c r="Y417" s="2">
        <v>0.143540536</v>
      </c>
      <c r="Z417" s="2">
        <v>0.2498012758</v>
      </c>
      <c r="AA417" s="2">
        <v>0</v>
      </c>
      <c r="AB417" s="2" t="str">
        <f>IFERROR(IF(A418=A417, Q417-X417, ""), "null")</f>
        <v/>
      </c>
    </row>
    <row r="418" spans="1:28">
      <c r="A418" s="2" t="s">
        <v>260</v>
      </c>
      <c r="B418" s="2" t="str">
        <f>VLOOKUP(A418,Regions!A:B,2,0)</f>
        <v>Latin America &amp; Caribbean</v>
      </c>
      <c r="C418" s="2">
        <v>2015</v>
      </c>
      <c r="D418" s="2">
        <f>IF(A419=A418,ABS(C419-C418),"")</f>
        <v>5</v>
      </c>
      <c r="E418" s="2">
        <f>IFERROR(IF(A419=A418,((H418-H419)/(C418-C419)), ""), "null")</f>
        <v>0.14779862400000071</v>
      </c>
      <c r="F418" s="2">
        <v>1370.3320309999999</v>
      </c>
      <c r="G418" s="2">
        <v>53.319000240000001</v>
      </c>
      <c r="H418" s="2">
        <v>98.136177649999993</v>
      </c>
      <c r="I418" s="2">
        <f>IFERROR(ROUND(H418,0),"null")</f>
        <v>98</v>
      </c>
      <c r="J418" s="2" t="str">
        <f>IF(AND(A419=A418,I418=100,I419=100),"full access", " ")</f>
        <v xml:space="preserve"> </v>
      </c>
      <c r="K418" s="2">
        <v>1.1164222559999999</v>
      </c>
      <c r="L418" s="2">
        <v>0.56928192339999995</v>
      </c>
      <c r="M418" s="2">
        <v>0.17811817260000001</v>
      </c>
      <c r="N418" s="2" t="s">
        <v>45</v>
      </c>
      <c r="O418" s="2" t="str">
        <f>IFERROR(ROUND(N418,0),"null")</f>
        <v>null</v>
      </c>
      <c r="P418" s="2" t="str">
        <f>IF(AND(A418=A419,O418=100,O419=100),"full access"," ")</f>
        <v xml:space="preserve"> </v>
      </c>
      <c r="Q418" s="2" t="str">
        <f>IFERROR(IF(A419=A418,((N418-N419)/(C418-C419)),""),"null")</f>
        <v>null</v>
      </c>
      <c r="R418" s="2" t="s">
        <v>45</v>
      </c>
      <c r="S418" s="2" t="s">
        <v>45</v>
      </c>
      <c r="T418" s="2" t="s">
        <v>45</v>
      </c>
      <c r="U418" s="2" t="s">
        <v>45</v>
      </c>
      <c r="V418" s="2" t="str">
        <f>IFERROR(ROUND(U418,0),"null")</f>
        <v>null</v>
      </c>
      <c r="W418" s="2" t="str">
        <f>IF(AND(A418=A419,V418=100,V419=100),"full access","")</f>
        <v/>
      </c>
      <c r="X418" s="2" t="str">
        <f>IFERROR(IF(A419=A418,((U418-U419)/(C418-C419)),""),"null")</f>
        <v>null</v>
      </c>
      <c r="Y418" s="2" t="s">
        <v>45</v>
      </c>
      <c r="Z418" s="2" t="s">
        <v>45</v>
      </c>
      <c r="AA418" s="2" t="s">
        <v>45</v>
      </c>
      <c r="AB418" s="2" t="str">
        <f>IFERROR(IF(A419=A418, Q418-X418, ""), "null")</f>
        <v>null</v>
      </c>
    </row>
    <row r="419" spans="1:28">
      <c r="A419" s="2" t="s">
        <v>260</v>
      </c>
      <c r="B419" s="2" t="str">
        <f>VLOOKUP(A419,Regions!A:B,2,0)</f>
        <v>Latin America &amp; Caribbean</v>
      </c>
      <c r="C419" s="2">
        <v>2020</v>
      </c>
      <c r="D419" s="2" t="str">
        <f>IF(A420=A419,ABS(C420-C419),"")</f>
        <v/>
      </c>
      <c r="E419" s="2" t="str">
        <f>IFERROR(IF(A420=A419,((H419-H420)/(C419-C420)), ""), "null")</f>
        <v/>
      </c>
      <c r="F419" s="2">
        <v>1399.490967</v>
      </c>
      <c r="G419" s="2">
        <v>53.2140007</v>
      </c>
      <c r="H419" s="2">
        <v>98.875170769999997</v>
      </c>
      <c r="I419" s="2">
        <f>IFERROR(ROUND(H419,0),"null")</f>
        <v>99</v>
      </c>
      <c r="J419" s="2" t="str">
        <f>IF(AND(A420=A419,I419=100,I420=100),"full access", " ")</f>
        <v xml:space="preserve"> </v>
      </c>
      <c r="K419" s="2">
        <v>1.1248292310000001</v>
      </c>
      <c r="L419" s="2">
        <v>0</v>
      </c>
      <c r="M419" s="2">
        <v>0</v>
      </c>
      <c r="N419" s="2" t="s">
        <v>45</v>
      </c>
      <c r="O419" s="2" t="str">
        <f>IFERROR(ROUND(N419,0),"null")</f>
        <v>null</v>
      </c>
      <c r="P419" s="2" t="str">
        <f>IF(AND(A419=A420,O419=100,O420=100),"full access"," ")</f>
        <v xml:space="preserve"> </v>
      </c>
      <c r="Q419" s="2" t="str">
        <f>IFERROR(IF(A420=A419,((N419-N420)/(C419-C420)),""),"null")</f>
        <v/>
      </c>
      <c r="R419" s="2" t="s">
        <v>45</v>
      </c>
      <c r="S419" s="2" t="s">
        <v>45</v>
      </c>
      <c r="T419" s="2" t="s">
        <v>45</v>
      </c>
      <c r="U419" s="2" t="s">
        <v>45</v>
      </c>
      <c r="V419" s="2" t="str">
        <f>IFERROR(ROUND(U419,0),"null")</f>
        <v>null</v>
      </c>
      <c r="W419" s="2" t="str">
        <f>IF(AND(A419=A420,V419=100,V420=100),"full access","")</f>
        <v/>
      </c>
      <c r="X419" s="2" t="str">
        <f>IFERROR(IF(A420=A419,((U419-U420)/(C419-C420)),""),"null")</f>
        <v/>
      </c>
      <c r="Y419" s="2" t="s">
        <v>45</v>
      </c>
      <c r="Z419" s="2" t="s">
        <v>45</v>
      </c>
      <c r="AA419" s="2" t="s">
        <v>45</v>
      </c>
      <c r="AB419" s="2" t="str">
        <f>IFERROR(IF(A420=A419, Q419-X419, ""), "null")</f>
        <v/>
      </c>
    </row>
    <row r="420" spans="1:28">
      <c r="A420" s="2" t="s">
        <v>261</v>
      </c>
      <c r="B420" s="2" t="str">
        <f>VLOOKUP(A420,Regions!A:B,2,0)</f>
        <v>Sub-Saharan Africa</v>
      </c>
      <c r="C420" s="2">
        <v>2015</v>
      </c>
      <c r="D420" s="2">
        <f>IF(A421=A420,ABS(C421-C420),"")</f>
        <v>5</v>
      </c>
      <c r="E420" s="2">
        <f>IFERROR(IF(A421=A420,((H420-H421)/(C420-C421)), ""), "null")</f>
        <v>0.53957077800000097</v>
      </c>
      <c r="F420" s="2">
        <v>11179.95117</v>
      </c>
      <c r="G420" s="2">
        <v>68.055999760000006</v>
      </c>
      <c r="H420" s="2">
        <v>94.845455099999995</v>
      </c>
      <c r="I420" s="2">
        <f>IFERROR(ROUND(H420,0),"null")</f>
        <v>95</v>
      </c>
      <c r="J420" s="2" t="str">
        <f>IF(AND(A421=A420,I420=100,I421=100),"full access", " ")</f>
        <v xml:space="preserve"> </v>
      </c>
      <c r="K420" s="2">
        <v>2.9001003930000002</v>
      </c>
      <c r="L420" s="2">
        <v>2.1791030770000002</v>
      </c>
      <c r="M420" s="2">
        <v>7.5341425109999999E-2</v>
      </c>
      <c r="N420" s="2">
        <v>85.59067297</v>
      </c>
      <c r="O420" s="2">
        <f>IFERROR(ROUND(N420,0),"null")</f>
        <v>86</v>
      </c>
      <c r="P420" s="2" t="str">
        <f>IF(AND(A420=A421,O420=100,O421=100),"full access"," ")</f>
        <v xml:space="preserve"> </v>
      </c>
      <c r="Q420" s="2">
        <f>IFERROR(IF(A421=A420,((N420-N421)/(C420-C421)),""),"null")</f>
        <v>1.6691117920000011</v>
      </c>
      <c r="R420" s="2">
        <v>7.6364837000000003</v>
      </c>
      <c r="S420" s="2">
        <v>6.5369886399999997</v>
      </c>
      <c r="T420" s="2">
        <v>0.23585469070000001</v>
      </c>
      <c r="U420" s="2">
        <v>99.189447939999994</v>
      </c>
      <c r="V420" s="2">
        <f>IFERROR(ROUND(U420,0),"null")</f>
        <v>99</v>
      </c>
      <c r="W420" s="2" t="str">
        <f>IF(AND(A420=A421,V420=100,V421=100),"full access","")</f>
        <v/>
      </c>
      <c r="X420" s="2">
        <f>IFERROR(IF(A421=A420,((U420-U421)/(C420-C421)),""),"null")</f>
        <v>-1.3650061999999252E-2</v>
      </c>
      <c r="Y420" s="2">
        <v>0.67694539840000001</v>
      </c>
      <c r="Z420" s="2">
        <v>0.13360666639999999</v>
      </c>
      <c r="AA420" s="2">
        <v>0</v>
      </c>
      <c r="AB420" s="2">
        <f>IFERROR(IF(A421=A420, Q420-X420, ""), "null")</f>
        <v>1.6827618540000004</v>
      </c>
    </row>
    <row r="421" spans="1:28">
      <c r="A421" s="2" t="s">
        <v>261</v>
      </c>
      <c r="B421" s="2" t="str">
        <f>VLOOKUP(A421,Regions!A:B,2,0)</f>
        <v>Sub-Saharan Africa</v>
      </c>
      <c r="C421" s="2">
        <v>2020</v>
      </c>
      <c r="D421" s="2" t="str">
        <f>IF(A422=A421,ABS(C422-C421),"")</f>
        <v/>
      </c>
      <c r="E421" s="2" t="str">
        <f>IFERROR(IF(A422=A421,((H421-H422)/(C421-C422)), ""), "null")</f>
        <v/>
      </c>
      <c r="F421" s="2">
        <v>11818.61816</v>
      </c>
      <c r="G421" s="2">
        <v>69.568000789999999</v>
      </c>
      <c r="H421" s="2">
        <v>97.54330899</v>
      </c>
      <c r="I421" s="2">
        <f>IFERROR(ROUND(H421,0),"null")</f>
        <v>98</v>
      </c>
      <c r="J421" s="2" t="str">
        <f>IF(AND(A422=A421,I421=100,I422=100),"full access", " ")</f>
        <v xml:space="preserve"> </v>
      </c>
      <c r="K421" s="2">
        <v>1.63135067</v>
      </c>
      <c r="L421" s="2">
        <v>0.82534033780000005</v>
      </c>
      <c r="M421" s="2">
        <v>0</v>
      </c>
      <c r="N421" s="2">
        <v>93.936231930000005</v>
      </c>
      <c r="O421" s="2">
        <f>IFERROR(ROUND(N421,0),"null")</f>
        <v>94</v>
      </c>
      <c r="P421" s="2" t="str">
        <f>IF(AND(A421=A422,O421=100,O422=100),"full access"," ")</f>
        <v xml:space="preserve"> </v>
      </c>
      <c r="Q421" s="2" t="str">
        <f>IFERROR(IF(A422=A421,((N421-N422)/(C421-C422)),""),"null")</f>
        <v/>
      </c>
      <c r="R421" s="2">
        <v>3.3516873569999999</v>
      </c>
      <c r="S421" s="2">
        <v>2.71208071</v>
      </c>
      <c r="T421" s="2">
        <v>0</v>
      </c>
      <c r="U421" s="2">
        <v>99.121197629999998</v>
      </c>
      <c r="V421" s="2">
        <f>IFERROR(ROUND(U421,0),"null")</f>
        <v>99</v>
      </c>
      <c r="W421" s="2" t="str">
        <f>IF(AND(A421=A422,V421=100,V422=100),"full access","")</f>
        <v/>
      </c>
      <c r="X421" s="2" t="str">
        <f>IFERROR(IF(A422=A421,((U421-U422)/(C421-C422)),""),"null")</f>
        <v/>
      </c>
      <c r="Y421" s="2">
        <v>0.87880236840000003</v>
      </c>
      <c r="Z421" s="2">
        <v>0</v>
      </c>
      <c r="AA421" s="2">
        <v>0</v>
      </c>
      <c r="AB421" s="2" t="str">
        <f>IFERROR(IF(A422=A421, Q421-X421, ""), "null")</f>
        <v/>
      </c>
    </row>
    <row r="422" spans="1:28">
      <c r="A422" s="2" t="s">
        <v>262</v>
      </c>
      <c r="B422" s="2" t="str">
        <f>VLOOKUP(A422,Regions!A:B,2,0)</f>
        <v>Europe &amp; Central Asia</v>
      </c>
      <c r="C422" s="2">
        <v>2015</v>
      </c>
      <c r="D422" s="2">
        <f>IF(A423=A422,ABS(C423-C422),"")</f>
        <v>5</v>
      </c>
      <c r="E422" s="2">
        <f>IFERROR(IF(A423=A422,((H422-H423)/(C422-C423)), ""), "null")</f>
        <v>0.15162200799999823</v>
      </c>
      <c r="F422" s="2">
        <v>78529.414059999996</v>
      </c>
      <c r="G422" s="2">
        <v>73.611000059999995</v>
      </c>
      <c r="H422" s="2">
        <v>96.256159120000007</v>
      </c>
      <c r="I422" s="2">
        <f>IFERROR(ROUND(H422,0),"null")</f>
        <v>96</v>
      </c>
      <c r="J422" s="2" t="str">
        <f>IF(AND(A423=A422,I422=100,I423=100),"full access", " ")</f>
        <v xml:space="preserve"> </v>
      </c>
      <c r="K422" s="2">
        <v>2.0267476019999999</v>
      </c>
      <c r="L422" s="2">
        <v>1.5188707130000001</v>
      </c>
      <c r="M422" s="2">
        <v>0.1982225671</v>
      </c>
      <c r="N422" s="2">
        <v>94.203882989999997</v>
      </c>
      <c r="O422" s="2">
        <f>IFERROR(ROUND(N422,0),"null")</f>
        <v>94</v>
      </c>
      <c r="P422" s="2" t="str">
        <f>IF(AND(A422=A423,O422=100,O423=100),"full access"," ")</f>
        <v xml:space="preserve"> </v>
      </c>
      <c r="Q422" s="2">
        <f>IFERROR(IF(A423=A422,((N422-N423)/(C422-C423)),""),"null")</f>
        <v>0.36425735600000164</v>
      </c>
      <c r="R422" s="2">
        <v>2.6336569440000002</v>
      </c>
      <c r="S422" s="2">
        <v>2.7404600640000001</v>
      </c>
      <c r="T422" s="2">
        <v>0.42199999999999999</v>
      </c>
      <c r="U422" s="2">
        <v>96.99188504</v>
      </c>
      <c r="V422" s="2">
        <f>IFERROR(ROUND(U422,0),"null")</f>
        <v>97</v>
      </c>
      <c r="W422" s="2" t="str">
        <f>IF(AND(A422=A423,V422=100,V423=100),"full access","")</f>
        <v/>
      </c>
      <c r="X422" s="2">
        <f>IFERROR(IF(A423=A422,((U422-U423)/(C422-C423)),""),"null")</f>
        <v>6.6586558000000198E-2</v>
      </c>
      <c r="Y422" s="2">
        <v>1.8091750579999999</v>
      </c>
      <c r="Z422" s="2">
        <v>1.080939898</v>
      </c>
      <c r="AA422" s="2">
        <v>0.11799999999999999</v>
      </c>
      <c r="AB422" s="2">
        <f>IFERROR(IF(A423=A422, Q422-X422, ""), "null")</f>
        <v>0.29767079800000146</v>
      </c>
    </row>
    <row r="423" spans="1:28">
      <c r="A423" s="2" t="s">
        <v>262</v>
      </c>
      <c r="B423" s="2" t="str">
        <f>VLOOKUP(A423,Regions!A:B,2,0)</f>
        <v>Europe &amp; Central Asia</v>
      </c>
      <c r="C423" s="2">
        <v>2020</v>
      </c>
      <c r="D423" s="2" t="str">
        <f>IF(A424=A423,ABS(C424-C423),"")</f>
        <v/>
      </c>
      <c r="E423" s="2" t="str">
        <f>IFERROR(IF(A424=A423,((H423-H424)/(C423-C424)), ""), "null")</f>
        <v/>
      </c>
      <c r="F423" s="2">
        <v>84339.070309999996</v>
      </c>
      <c r="G423" s="2">
        <v>76.105003359999998</v>
      </c>
      <c r="H423" s="2">
        <v>97.014269159999998</v>
      </c>
      <c r="I423" s="2">
        <f>IFERROR(ROUND(H423,0),"null")</f>
        <v>97</v>
      </c>
      <c r="J423" s="2" t="str">
        <f>IF(AND(A424=A423,I423=100,I424=100),"full access", " ")</f>
        <v xml:space="preserve"> </v>
      </c>
      <c r="K423" s="2">
        <v>2.0230780749999999</v>
      </c>
      <c r="L423" s="2">
        <v>0.73767495449999998</v>
      </c>
      <c r="M423" s="2">
        <v>0.2249778093</v>
      </c>
      <c r="N423" s="2">
        <v>96.025169770000005</v>
      </c>
      <c r="O423" s="2">
        <f>IFERROR(ROUND(N423,0),"null")</f>
        <v>96</v>
      </c>
      <c r="P423" s="2" t="str">
        <f>IF(AND(A423=A424,O423=100,O424=100),"full access"," ")</f>
        <v xml:space="preserve"> </v>
      </c>
      <c r="Q423" s="2" t="str">
        <f>IFERROR(IF(A424=A423,((N423-N424)/(C423-C424)),""),"null")</f>
        <v/>
      </c>
      <c r="R423" s="2">
        <v>2.684574639</v>
      </c>
      <c r="S423" s="2">
        <v>0.78825559109999999</v>
      </c>
      <c r="T423" s="2">
        <v>0.502</v>
      </c>
      <c r="U423" s="2">
        <v>97.324817830000001</v>
      </c>
      <c r="V423" s="2">
        <f>IFERROR(ROUND(U423,0),"null")</f>
        <v>97</v>
      </c>
      <c r="W423" s="2" t="str">
        <f>IF(AND(A423=A424,V423=100,V424=100),"full access","")</f>
        <v/>
      </c>
      <c r="X423" s="2" t="str">
        <f>IFERROR(IF(A424=A423,((U423-U424)/(C423-C424)),""),"null")</f>
        <v/>
      </c>
      <c r="Y423" s="2">
        <v>1.8153852029999999</v>
      </c>
      <c r="Z423" s="2">
        <v>0.72179696339999999</v>
      </c>
      <c r="AA423" s="2">
        <v>0.13800000000000001</v>
      </c>
      <c r="AB423" s="2" t="str">
        <f>IFERROR(IF(A424=A423, Q423-X423, ""), "null")</f>
        <v/>
      </c>
    </row>
    <row r="424" spans="1:28">
      <c r="A424" s="2" t="s">
        <v>263</v>
      </c>
      <c r="B424" s="2" t="str">
        <f>VLOOKUP(A424,Regions!A:B,2,0)</f>
        <v>Europe &amp; Central Asia</v>
      </c>
      <c r="C424" s="2">
        <v>2015</v>
      </c>
      <c r="D424" s="2">
        <f>IF(A425=A424,ABS(C425-C424),"")</f>
        <v>5</v>
      </c>
      <c r="E424" s="2">
        <f>IFERROR(IF(A425=A424,((H424-H425)/(C424-C425)), ""), "null")</f>
        <v>0.46821113800000091</v>
      </c>
      <c r="F424" s="2">
        <v>5565.283203</v>
      </c>
      <c r="G424" s="2">
        <v>50.317001339999997</v>
      </c>
      <c r="H424" s="2">
        <v>97.658944309999995</v>
      </c>
      <c r="I424" s="2">
        <f>IFERROR(ROUND(H424,0),"null")</f>
        <v>98</v>
      </c>
      <c r="J424" s="2" t="str">
        <f>IF(AND(A425=A424,I424=100,I425=100),"full access", " ")</f>
        <v xml:space="preserve"> </v>
      </c>
      <c r="K424" s="2">
        <v>0.94791505470000004</v>
      </c>
      <c r="L424" s="2">
        <v>0.24775003200000001</v>
      </c>
      <c r="M424" s="2">
        <v>1.1453906060000001</v>
      </c>
      <c r="N424" s="2">
        <v>96.219783160000006</v>
      </c>
      <c r="O424" s="2">
        <f>IFERROR(ROUND(N424,0),"null")</f>
        <v>96</v>
      </c>
      <c r="P424" s="2" t="str">
        <f>IF(AND(A424=A425,O424=100,O425=100),"full access"," ")</f>
        <v xml:space="preserve"> </v>
      </c>
      <c r="Q424" s="2">
        <f>IFERROR(IF(A425=A424,((N424-N425)/(C424-C425)),""),"null")</f>
        <v>0.75604336799999883</v>
      </c>
      <c r="R424" s="2">
        <v>1.0009544290000001</v>
      </c>
      <c r="S424" s="2">
        <v>0.47386486500000002</v>
      </c>
      <c r="T424" s="2">
        <v>2.305397551</v>
      </c>
      <c r="U424" s="2">
        <v>99.079971720000003</v>
      </c>
      <c r="V424" s="2">
        <f>IFERROR(ROUND(U424,0),"null")</f>
        <v>99</v>
      </c>
      <c r="W424" s="2" t="str">
        <f>IF(AND(A424=A425,V424=100,V425=100),"full access","")</f>
        <v/>
      </c>
      <c r="X424" s="2">
        <f>IFERROR(IF(A425=A424,((U424-U425)/(C424-C425)),""),"null")</f>
        <v>0.18400565599999935</v>
      </c>
      <c r="Y424" s="2">
        <v>0.89554398800000001</v>
      </c>
      <c r="Z424" s="2">
        <v>2.4484294899999998E-2</v>
      </c>
      <c r="AA424" s="2">
        <v>0</v>
      </c>
      <c r="AB424" s="2">
        <f>IFERROR(IF(A425=A424, Q424-X424, ""), "null")</f>
        <v>0.57203771199999953</v>
      </c>
    </row>
    <row r="425" spans="1:28">
      <c r="A425" s="2" t="s">
        <v>263</v>
      </c>
      <c r="B425" s="2" t="str">
        <f>VLOOKUP(A425,Regions!A:B,2,0)</f>
        <v>Europe &amp; Central Asia</v>
      </c>
      <c r="C425" s="2">
        <v>2020</v>
      </c>
      <c r="D425" s="2" t="str">
        <f>IF(A426=A425,ABS(C426-C425),"")</f>
        <v/>
      </c>
      <c r="E425" s="2" t="str">
        <f>IFERROR(IF(A426=A425,((H425-H426)/(C425-C426)), ""), "null")</f>
        <v/>
      </c>
      <c r="F425" s="2">
        <v>6031.1870120000003</v>
      </c>
      <c r="G425" s="2">
        <v>52.516002659999998</v>
      </c>
      <c r="H425" s="2">
        <v>100</v>
      </c>
      <c r="I425" s="2">
        <f>IFERROR(ROUND(H425,0),"null")</f>
        <v>100</v>
      </c>
      <c r="J425" s="2" t="str">
        <f>IF(AND(A426=A425,I425=100,I426=100),"full access", " ")</f>
        <v xml:space="preserve"> </v>
      </c>
      <c r="K425" s="2">
        <v>0</v>
      </c>
      <c r="L425" s="2">
        <v>0</v>
      </c>
      <c r="M425" s="2">
        <v>0</v>
      </c>
      <c r="N425" s="2">
        <v>100</v>
      </c>
      <c r="O425" s="2">
        <f>IFERROR(ROUND(N425,0),"null")</f>
        <v>100</v>
      </c>
      <c r="P425" s="2" t="str">
        <f>IF(AND(A425=A426,O425=100,O426=100),"full access"," ")</f>
        <v xml:space="preserve"> </v>
      </c>
      <c r="Q425" s="2" t="str">
        <f>IFERROR(IF(A426=A425,((N425-N426)/(C425-C426)),""),"null")</f>
        <v/>
      </c>
      <c r="R425" s="2">
        <v>0</v>
      </c>
      <c r="S425" s="2">
        <v>0</v>
      </c>
      <c r="T425" s="2">
        <v>0</v>
      </c>
      <c r="U425" s="2">
        <v>100</v>
      </c>
      <c r="V425" s="2">
        <f>IFERROR(ROUND(U425,0),"null")</f>
        <v>100</v>
      </c>
      <c r="W425" s="2" t="str">
        <f>IF(AND(A425=A426,V425=100,V426=100),"full access","")</f>
        <v/>
      </c>
      <c r="X425" s="2" t="str">
        <f>IFERROR(IF(A426=A425,((U425-U426)/(C425-C426)),""),"null")</f>
        <v/>
      </c>
      <c r="Y425" s="2">
        <v>0</v>
      </c>
      <c r="Z425" s="2">
        <v>0</v>
      </c>
      <c r="AA425" s="2">
        <v>0</v>
      </c>
      <c r="AB425" s="2" t="str">
        <f>IFERROR(IF(A426=A425, Q425-X425, ""), "null")</f>
        <v/>
      </c>
    </row>
    <row r="426" spans="1:28">
      <c r="A426" s="2" t="s">
        <v>264</v>
      </c>
      <c r="B426" s="2" t="str">
        <f>VLOOKUP(A426,Regions!A:B,2,0)</f>
        <v>Latin America &amp; Caribbean</v>
      </c>
      <c r="C426" s="2">
        <v>2015</v>
      </c>
      <c r="D426" s="2">
        <f>IF(A427=A426,ABS(C427-C426),"")</f>
        <v>3</v>
      </c>
      <c r="E426" s="2">
        <f>IFERROR(IF(A427=A426,((H426-H427)/(C426-C427)), ""), "null")</f>
        <v>0</v>
      </c>
      <c r="F426" s="2">
        <v>35.97900009</v>
      </c>
      <c r="G426" s="2">
        <v>92.194992069999998</v>
      </c>
      <c r="H426" s="2">
        <v>94.318181820000007</v>
      </c>
      <c r="I426" s="2">
        <f>IFERROR(ROUND(H426,0),"null")</f>
        <v>94</v>
      </c>
      <c r="J426" s="2" t="str">
        <f>IF(AND(A427=A426,I426=100,I427=100),"full access", " ")</f>
        <v xml:space="preserve"> </v>
      </c>
      <c r="K426" s="2">
        <v>0</v>
      </c>
      <c r="L426" s="2">
        <v>5.6818181819999998</v>
      </c>
      <c r="M426" s="2">
        <v>0</v>
      </c>
      <c r="N426" s="2" t="s">
        <v>45</v>
      </c>
      <c r="O426" s="2" t="str">
        <f>IFERROR(ROUND(N426,0),"null")</f>
        <v>null</v>
      </c>
      <c r="P426" s="2" t="str">
        <f>IF(AND(A426=A427,O426=100,O427=100),"full access"," ")</f>
        <v xml:space="preserve"> </v>
      </c>
      <c r="Q426" s="2" t="str">
        <f>IFERROR(IF(A427=A426,((N426-N427)/(C426-C427)),""),"null")</f>
        <v>null</v>
      </c>
      <c r="R426" s="2" t="s">
        <v>45</v>
      </c>
      <c r="S426" s="2" t="s">
        <v>45</v>
      </c>
      <c r="T426" s="2" t="s">
        <v>45</v>
      </c>
      <c r="U426" s="2" t="s">
        <v>45</v>
      </c>
      <c r="V426" s="2" t="str">
        <f>IFERROR(ROUND(U426,0),"null")</f>
        <v>null</v>
      </c>
      <c r="W426" s="2" t="str">
        <f>IF(AND(A426=A427,V426=100,V427=100),"full access","")</f>
        <v/>
      </c>
      <c r="X426" s="2" t="str">
        <f>IFERROR(IF(A427=A426,((U426-U427)/(C426-C427)),""),"null")</f>
        <v>null</v>
      </c>
      <c r="Y426" s="2" t="s">
        <v>45</v>
      </c>
      <c r="Z426" s="2" t="s">
        <v>45</v>
      </c>
      <c r="AA426" s="2" t="s">
        <v>45</v>
      </c>
      <c r="AB426" s="2" t="str">
        <f>IFERROR(IF(A427=A426, Q426-X426, ""), "null")</f>
        <v>null</v>
      </c>
    </row>
    <row r="427" spans="1:28">
      <c r="A427" s="2" t="s">
        <v>264</v>
      </c>
      <c r="B427" s="2" t="str">
        <f>VLOOKUP(A427,Regions!A:B,2,0)</f>
        <v>Latin America &amp; Caribbean</v>
      </c>
      <c r="C427" s="2">
        <v>2018</v>
      </c>
      <c r="D427" s="2" t="str">
        <f>IF(A428=A427,ABS(C428-C427),"")</f>
        <v/>
      </c>
      <c r="E427" s="2" t="str">
        <f>IFERROR(IF(A428=A427,((H427-H428)/(C427-C428)), ""), "null")</f>
        <v/>
      </c>
      <c r="F427" s="2">
        <v>37.666999820000001</v>
      </c>
      <c r="G427" s="2">
        <v>93.097999569999999</v>
      </c>
      <c r="H427" s="2">
        <v>94.318181820000007</v>
      </c>
      <c r="I427" s="2">
        <f>IFERROR(ROUND(H427,0),"null")</f>
        <v>94</v>
      </c>
      <c r="J427" s="2" t="str">
        <f>IF(AND(A428=A427,I427=100,I428=100),"full access", " ")</f>
        <v xml:space="preserve"> </v>
      </c>
      <c r="K427" s="2">
        <v>0</v>
      </c>
      <c r="L427" s="2">
        <v>5.6818181819999998</v>
      </c>
      <c r="M427" s="2">
        <v>0</v>
      </c>
      <c r="N427" s="2" t="s">
        <v>45</v>
      </c>
      <c r="O427" s="2" t="str">
        <f>IFERROR(ROUND(N427,0),"null")</f>
        <v>null</v>
      </c>
      <c r="P427" s="2" t="str">
        <f>IF(AND(A427=A428,O427=100,O428=100),"full access"," ")</f>
        <v xml:space="preserve"> </v>
      </c>
      <c r="Q427" s="2" t="str">
        <f>IFERROR(IF(A428=A427,((N427-N428)/(C427-C428)),""),"null")</f>
        <v/>
      </c>
      <c r="R427" s="2" t="s">
        <v>45</v>
      </c>
      <c r="S427" s="2" t="s">
        <v>45</v>
      </c>
      <c r="T427" s="2" t="s">
        <v>45</v>
      </c>
      <c r="U427" s="2" t="s">
        <v>45</v>
      </c>
      <c r="V427" s="2" t="str">
        <f>IFERROR(ROUND(U427,0),"null")</f>
        <v>null</v>
      </c>
      <c r="W427" s="2" t="str">
        <f>IF(AND(A427=A428,V427=100,V428=100),"full access","")</f>
        <v/>
      </c>
      <c r="X427" s="2" t="str">
        <f>IFERROR(IF(A428=A427,((U427-U428)/(C427-C428)),""),"null")</f>
        <v/>
      </c>
      <c r="Y427" s="2" t="s">
        <v>45</v>
      </c>
      <c r="Z427" s="2" t="s">
        <v>45</v>
      </c>
      <c r="AA427" s="2" t="s">
        <v>45</v>
      </c>
      <c r="AB427" s="2" t="str">
        <f>IFERROR(IF(A428=A427, Q427-X427, ""), "null")</f>
        <v/>
      </c>
    </row>
    <row r="428" spans="1:28">
      <c r="A428" s="2" t="s">
        <v>265</v>
      </c>
      <c r="B428" s="2" t="str">
        <f>VLOOKUP(A428,Regions!A:B,2,0)</f>
        <v>East Asia &amp; Pacific</v>
      </c>
      <c r="C428" s="2">
        <v>2015</v>
      </c>
      <c r="D428" s="2">
        <f>IF(A429=A428,ABS(C429-C428),"")</f>
        <v>5</v>
      </c>
      <c r="E428" s="2">
        <f>IFERROR(IF(A429=A428,((H428-H429)/(C428-C429)), ""), "null")</f>
        <v>0</v>
      </c>
      <c r="F428" s="2">
        <v>11.09899998</v>
      </c>
      <c r="G428" s="2">
        <v>59.729999540000001</v>
      </c>
      <c r="H428" s="2">
        <v>100</v>
      </c>
      <c r="I428" s="2">
        <f>IFERROR(ROUND(H428,0),"null")</f>
        <v>100</v>
      </c>
      <c r="J428" s="2" t="str">
        <f>IF(AND(A429=A428,I428=100,I429=100),"full access", " ")</f>
        <v>full access</v>
      </c>
      <c r="K428" s="2">
        <v>0</v>
      </c>
      <c r="L428" s="2">
        <v>0</v>
      </c>
      <c r="M428" s="2">
        <v>0</v>
      </c>
      <c r="N428" s="2">
        <v>100</v>
      </c>
      <c r="O428" s="2">
        <f>IFERROR(ROUND(N428,0),"null")</f>
        <v>100</v>
      </c>
      <c r="P428" s="2" t="str">
        <f>IF(AND(A428=A429,O428=100,O429=100),"full access"," ")</f>
        <v>full access</v>
      </c>
      <c r="Q428" s="2">
        <f>IFERROR(IF(A429=A428,((N428-N429)/(C428-C429)),""),"null")</f>
        <v>0</v>
      </c>
      <c r="R428" s="2">
        <v>0</v>
      </c>
      <c r="S428" s="2">
        <v>0</v>
      </c>
      <c r="T428" s="2">
        <v>0</v>
      </c>
      <c r="U428" s="2">
        <v>100</v>
      </c>
      <c r="V428" s="2">
        <f>IFERROR(ROUND(U428,0),"null")</f>
        <v>100</v>
      </c>
      <c r="W428" s="2" t="str">
        <f>IF(AND(A428=A429,V428=100,V429=100),"full access","")</f>
        <v>full access</v>
      </c>
      <c r="X428" s="2">
        <f>IFERROR(IF(A429=A428,((U428-U429)/(C428-C429)),""),"null")</f>
        <v>0</v>
      </c>
      <c r="Y428" s="2">
        <v>0</v>
      </c>
      <c r="Z428" s="2">
        <v>0</v>
      </c>
      <c r="AA428" s="2">
        <v>0</v>
      </c>
      <c r="AB428" s="2">
        <f>IFERROR(IF(A429=A428, Q428-X428, ""), "null")</f>
        <v>0</v>
      </c>
    </row>
    <row r="429" spans="1:28">
      <c r="A429" s="2" t="s">
        <v>265</v>
      </c>
      <c r="B429" s="2" t="str">
        <f>VLOOKUP(A429,Regions!A:B,2,0)</f>
        <v>East Asia &amp; Pacific</v>
      </c>
      <c r="C429" s="2">
        <v>2020</v>
      </c>
      <c r="D429" s="2" t="str">
        <f>IF(A430=A429,ABS(C430-C429),"")</f>
        <v/>
      </c>
      <c r="E429" s="2" t="str">
        <f>IFERROR(IF(A430=A429,((H429-H430)/(C429-C430)), ""), "null")</f>
        <v/>
      </c>
      <c r="F429" s="2">
        <v>11.791999819999999</v>
      </c>
      <c r="G429" s="2">
        <v>64.013999940000005</v>
      </c>
      <c r="H429" s="2">
        <v>100</v>
      </c>
      <c r="I429" s="2">
        <f>IFERROR(ROUND(H429,0),"null")</f>
        <v>100</v>
      </c>
      <c r="J429" s="2" t="str">
        <f>IF(AND(A430=A429,I429=100,I430=100),"full access", " ")</f>
        <v xml:space="preserve"> </v>
      </c>
      <c r="K429" s="2">
        <v>0</v>
      </c>
      <c r="L429" s="2">
        <v>0</v>
      </c>
      <c r="M429" s="2">
        <v>0</v>
      </c>
      <c r="N429" s="2">
        <v>100</v>
      </c>
      <c r="O429" s="2">
        <f>IFERROR(ROUND(N429,0),"null")</f>
        <v>100</v>
      </c>
      <c r="P429" s="2" t="str">
        <f>IF(AND(A429=A430,O429=100,O430=100),"full access"," ")</f>
        <v xml:space="preserve"> </v>
      </c>
      <c r="Q429" s="2" t="str">
        <f>IFERROR(IF(A430=A429,((N429-N430)/(C429-C430)),""),"null")</f>
        <v/>
      </c>
      <c r="R429" s="2">
        <v>0</v>
      </c>
      <c r="S429" s="2">
        <v>0</v>
      </c>
      <c r="T429" s="2">
        <v>0</v>
      </c>
      <c r="U429" s="2">
        <v>100</v>
      </c>
      <c r="V429" s="2">
        <f>IFERROR(ROUND(U429,0),"null")</f>
        <v>100</v>
      </c>
      <c r="W429" s="2" t="str">
        <f>IF(AND(A429=A430,V429=100,V430=100),"full access","")</f>
        <v/>
      </c>
      <c r="X429" s="2" t="str">
        <f>IFERROR(IF(A430=A429,((U429-U430)/(C429-C430)),""),"null")</f>
        <v/>
      </c>
      <c r="Y429" s="2">
        <v>0</v>
      </c>
      <c r="Z429" s="2">
        <v>0</v>
      </c>
      <c r="AA429" s="2">
        <v>0</v>
      </c>
      <c r="AB429" s="2" t="str">
        <f>IFERROR(IF(A430=A429, Q429-X429, ""), "null")</f>
        <v/>
      </c>
    </row>
    <row r="430" spans="1:28">
      <c r="A430" s="2" t="s">
        <v>266</v>
      </c>
      <c r="B430" s="2" t="str">
        <f>VLOOKUP(A430,Regions!A:B,2,0)</f>
        <v>Sub-Saharan Africa</v>
      </c>
      <c r="C430" s="2">
        <v>2015</v>
      </c>
      <c r="D430" s="2">
        <f>IF(A431=A430,ABS(C431-C430),"")</f>
        <v>5</v>
      </c>
      <c r="E430" s="2">
        <f>IFERROR(IF(A431=A430,((H430-H431)/(C430-C431)), ""), "null")</f>
        <v>1.6026981699999994</v>
      </c>
      <c r="F430" s="2">
        <v>38225.445310000003</v>
      </c>
      <c r="G430" s="2">
        <v>22.059999470000001</v>
      </c>
      <c r="H430" s="2">
        <v>47.841558360000001</v>
      </c>
      <c r="I430" s="2">
        <f>IFERROR(ROUND(H430,0),"null")</f>
        <v>48</v>
      </c>
      <c r="J430" s="2" t="str">
        <f>IF(AND(A431=A430,I430=100,I431=100),"full access", " ")</f>
        <v xml:space="preserve"> </v>
      </c>
      <c r="K430" s="2">
        <v>30.095403770000001</v>
      </c>
      <c r="L430" s="2">
        <v>15.106768450000001</v>
      </c>
      <c r="M430" s="2">
        <v>6.9562694199999999</v>
      </c>
      <c r="N430" s="2">
        <v>39.717003130000002</v>
      </c>
      <c r="O430" s="2">
        <f>IFERROR(ROUND(N430,0),"null")</f>
        <v>40</v>
      </c>
      <c r="P430" s="2" t="str">
        <f>IF(AND(A430=A431,O430=100,O431=100),"full access"," ")</f>
        <v xml:space="preserve"> </v>
      </c>
      <c r="Q430" s="2">
        <f>IFERROR(IF(A431=A430,((N430-N431)/(C430-C431)),""),"null")</f>
        <v>1.7028372899999993</v>
      </c>
      <c r="R430" s="2">
        <v>34.176563299999998</v>
      </c>
      <c r="S430" s="2">
        <v>17.519117219999998</v>
      </c>
      <c r="T430" s="2">
        <v>8.5873163479999999</v>
      </c>
      <c r="U430" s="2">
        <v>76.546356090000003</v>
      </c>
      <c r="V430" s="2">
        <f>IFERROR(ROUND(U430,0),"null")</f>
        <v>77</v>
      </c>
      <c r="W430" s="2" t="str">
        <f>IF(AND(A430=A431,V430=100,V431=100),"full access","")</f>
        <v/>
      </c>
      <c r="X430" s="2">
        <f>IFERROR(IF(A431=A430,((U430-U431)/(C430-C431)),""),"null")</f>
        <v>0.44729914199999998</v>
      </c>
      <c r="Y430" s="2">
        <v>15.67629339</v>
      </c>
      <c r="Z430" s="2">
        <v>6.5837192800000004</v>
      </c>
      <c r="AA430" s="2">
        <v>1.1936312419999999</v>
      </c>
      <c r="AB430" s="2">
        <f>IFERROR(IF(A431=A430, Q430-X430, ""), "null")</f>
        <v>1.2555381479999994</v>
      </c>
    </row>
    <row r="431" spans="1:28">
      <c r="A431" s="2" t="s">
        <v>266</v>
      </c>
      <c r="B431" s="2" t="str">
        <f>VLOOKUP(A431,Regions!A:B,2,0)</f>
        <v>Sub-Saharan Africa</v>
      </c>
      <c r="C431" s="2">
        <v>2020</v>
      </c>
      <c r="D431" s="2" t="str">
        <f>IF(A432=A431,ABS(C432-C431),"")</f>
        <v/>
      </c>
      <c r="E431" s="2" t="str">
        <f>IFERROR(IF(A432=A431,((H431-H432)/(C431-C432)), ""), "null")</f>
        <v/>
      </c>
      <c r="F431" s="2">
        <v>45741</v>
      </c>
      <c r="G431" s="2">
        <v>24.95400047</v>
      </c>
      <c r="H431" s="2">
        <v>55.855049209999997</v>
      </c>
      <c r="I431" s="2">
        <f>IFERROR(ROUND(H431,0),"null")</f>
        <v>56</v>
      </c>
      <c r="J431" s="2" t="str">
        <f>IF(AND(A432=A431,I431=100,I432=100),"full access", " ")</f>
        <v xml:space="preserve"> </v>
      </c>
      <c r="K431" s="2">
        <v>27.282859999999999</v>
      </c>
      <c r="L431" s="2">
        <v>12.16590654</v>
      </c>
      <c r="M431" s="2">
        <v>4.6961842520000001</v>
      </c>
      <c r="N431" s="2">
        <v>48.231189579999999</v>
      </c>
      <c r="O431" s="2">
        <f>IFERROR(ROUND(N431,0),"null")</f>
        <v>48</v>
      </c>
      <c r="P431" s="2" t="str">
        <f>IF(AND(A431=A432,O431=100,O432=100),"full access"," ")</f>
        <v xml:space="preserve"> </v>
      </c>
      <c r="Q431" s="2" t="str">
        <f>IFERROR(IF(A432=A431,((N431-N432)/(C431-C432)),""),"null")</f>
        <v/>
      </c>
      <c r="R431" s="2">
        <v>31.784694259999998</v>
      </c>
      <c r="S431" s="2">
        <v>14.076160610000001</v>
      </c>
      <c r="T431" s="2">
        <v>5.9079555460000002</v>
      </c>
      <c r="U431" s="2">
        <v>78.782851800000003</v>
      </c>
      <c r="V431" s="2">
        <f>IFERROR(ROUND(U431,0),"null")</f>
        <v>79</v>
      </c>
      <c r="W431" s="2" t="str">
        <f>IF(AND(A431=A432,V431=100,V432=100),"full access","")</f>
        <v/>
      </c>
      <c r="X431" s="2" t="str">
        <f>IFERROR(IF(A432=A431,((U431-U432)/(C431-C432)),""),"null")</f>
        <v/>
      </c>
      <c r="Y431" s="2">
        <v>13.74416783</v>
      </c>
      <c r="Z431" s="2">
        <v>6.4210441329999997</v>
      </c>
      <c r="AA431" s="2">
        <v>1.0519362379999999</v>
      </c>
      <c r="AB431" s="2" t="str">
        <f>IFERROR(IF(A432=A431, Q431-X431, ""), "null")</f>
        <v/>
      </c>
    </row>
    <row r="432" spans="1:28">
      <c r="A432" s="2" t="s">
        <v>267</v>
      </c>
      <c r="B432" s="2" t="str">
        <f>VLOOKUP(A432,Regions!A:B,2,0)</f>
        <v>Europe &amp; Central Asia</v>
      </c>
      <c r="C432" s="2">
        <v>2015</v>
      </c>
      <c r="D432" s="2">
        <f>IF(A433=A432,ABS(C433-C432),"")</f>
        <v>5</v>
      </c>
      <c r="E432" s="2">
        <f>IFERROR(IF(A433=A432,((H432-H433)/(C432-C433)), ""), "null")</f>
        <v>5.4275051999999845E-2</v>
      </c>
      <c r="F432" s="2">
        <v>44921.636720000002</v>
      </c>
      <c r="G432" s="2">
        <v>69.061004639999993</v>
      </c>
      <c r="H432" s="2">
        <v>93.65690669</v>
      </c>
      <c r="I432" s="2">
        <f>IFERROR(ROUND(H432,0),"null")</f>
        <v>94</v>
      </c>
      <c r="J432" s="2" t="str">
        <f>IF(AND(A433=A432,I432=100,I433=100),"full access", " ")</f>
        <v xml:space="preserve"> </v>
      </c>
      <c r="K432" s="2">
        <v>5.6308737229999997</v>
      </c>
      <c r="L432" s="2">
        <v>0.4364563488</v>
      </c>
      <c r="M432" s="2">
        <v>0.27576323949999998</v>
      </c>
      <c r="N432" s="2">
        <v>98.843111609999994</v>
      </c>
      <c r="O432" s="2">
        <f>IFERROR(ROUND(N432,0),"null")</f>
        <v>99</v>
      </c>
      <c r="P432" s="2" t="str">
        <f>IF(AND(A432=A433,O432=100,O433=100),"full access"," ")</f>
        <v xml:space="preserve"> </v>
      </c>
      <c r="Q432" s="2">
        <f>IFERROR(IF(A433=A432,((N432-N433)/(C432-C433)),""),"null")</f>
        <v>0.2313776780000012</v>
      </c>
      <c r="R432" s="2">
        <v>0</v>
      </c>
      <c r="S432" s="2">
        <v>0.944405312</v>
      </c>
      <c r="T432" s="2">
        <v>0.21248308169999999</v>
      </c>
      <c r="U432" s="2">
        <v>91.333508530000003</v>
      </c>
      <c r="V432" s="2">
        <f>IFERROR(ROUND(U432,0),"null")</f>
        <v>91</v>
      </c>
      <c r="W432" s="2" t="str">
        <f>IF(AND(A432=A433,V432=100,V433=100),"full access","")</f>
        <v/>
      </c>
      <c r="X432" s="2">
        <f>IFERROR(IF(A433=A432,((U432-U433)/(C432-C433)),""),"null")</f>
        <v>-1.1247683999999935E-2</v>
      </c>
      <c r="Y432" s="2">
        <v>8.1534782769999996</v>
      </c>
      <c r="Z432" s="2">
        <v>0.20890075559999999</v>
      </c>
      <c r="AA432" s="2">
        <v>0.30411244139999999</v>
      </c>
      <c r="AB432" s="2">
        <f>IFERROR(IF(A433=A432, Q432-X432, ""), "null")</f>
        <v>0.24262536200000112</v>
      </c>
    </row>
    <row r="433" spans="1:28">
      <c r="A433" s="2" t="s">
        <v>267</v>
      </c>
      <c r="B433" s="2" t="str">
        <f>VLOOKUP(A433,Regions!A:B,2,0)</f>
        <v>Europe &amp; Central Asia</v>
      </c>
      <c r="C433" s="2">
        <v>2020</v>
      </c>
      <c r="D433" s="2" t="str">
        <f>IF(A434=A433,ABS(C434-C433),"")</f>
        <v/>
      </c>
      <c r="E433" s="2" t="str">
        <f>IFERROR(IF(A434=A433,((H433-H434)/(C433-C434)), ""), "null")</f>
        <v/>
      </c>
      <c r="F433" s="2">
        <v>43733.757810000003</v>
      </c>
      <c r="G433" s="2">
        <v>69.608001709999996</v>
      </c>
      <c r="H433" s="2">
        <v>93.928281949999999</v>
      </c>
      <c r="I433" s="2">
        <f>IFERROR(ROUND(H433,0),"null")</f>
        <v>94</v>
      </c>
      <c r="J433" s="2" t="str">
        <f>IF(AND(A434=A433,I433=100,I434=100),"full access", " ")</f>
        <v xml:space="preserve"> </v>
      </c>
      <c r="K433" s="2">
        <v>5.671978717</v>
      </c>
      <c r="L433" s="2">
        <v>7.5904501289999995E-2</v>
      </c>
      <c r="M433" s="2">
        <v>0.32383483600000001</v>
      </c>
      <c r="N433" s="2">
        <v>100</v>
      </c>
      <c r="O433" s="2">
        <f>IFERROR(ROUND(N433,0),"null")</f>
        <v>100</v>
      </c>
      <c r="P433" s="2" t="str">
        <f>IF(AND(A433=A434,O433=100,O434=100),"full access"," ")</f>
        <v xml:space="preserve"> </v>
      </c>
      <c r="Q433" s="2" t="str">
        <f>IFERROR(IF(A434=A433,((N433-N434)/(C433-C434)),""),"null")</f>
        <v/>
      </c>
      <c r="R433" s="2">
        <v>0</v>
      </c>
      <c r="S433" s="2">
        <v>0</v>
      </c>
      <c r="T433" s="2">
        <v>0</v>
      </c>
      <c r="U433" s="2">
        <v>91.277270110000003</v>
      </c>
      <c r="V433" s="2">
        <f>IFERROR(ROUND(U433,0),"null")</f>
        <v>91</v>
      </c>
      <c r="W433" s="2" t="str">
        <f>IF(AND(A433=A434,V433=100,V434=100),"full access","")</f>
        <v/>
      </c>
      <c r="X433" s="2" t="str">
        <f>IFERROR(IF(A434=A433,((U433-U434)/(C433-C434)),""),"null")</f>
        <v/>
      </c>
      <c r="Y433" s="2">
        <v>8.1484577900000001</v>
      </c>
      <c r="Z433" s="2">
        <v>0.1090456533</v>
      </c>
      <c r="AA433" s="2">
        <v>0.46522644460000001</v>
      </c>
      <c r="AB433" s="2" t="str">
        <f>IFERROR(IF(A434=A433, Q433-X433, ""), "null")</f>
        <v/>
      </c>
    </row>
    <row r="434" spans="1:28">
      <c r="A434" s="2" t="s">
        <v>268</v>
      </c>
      <c r="B434" s="2" t="str">
        <f>VLOOKUP(A434,Regions!A:B,2,0)</f>
        <v>Europe &amp; Central Asia</v>
      </c>
      <c r="C434" s="2">
        <v>2015</v>
      </c>
      <c r="D434" s="2">
        <f>IF(A435=A434,ABS(C435-C434),"")</f>
        <v>5</v>
      </c>
      <c r="E434" s="2">
        <f>IFERROR(IF(A435=A434,((H434-H435)/(C434-C435)), ""), "null")</f>
        <v>-1.1472939999976005E-3</v>
      </c>
      <c r="F434" s="2">
        <v>9262.8964840000008</v>
      </c>
      <c r="G434" s="2">
        <v>85.674003600000006</v>
      </c>
      <c r="H434" s="2">
        <v>99.971332469999993</v>
      </c>
      <c r="I434" s="2">
        <f>IFERROR(ROUND(H434,0),"null")</f>
        <v>100</v>
      </c>
      <c r="J434" s="2" t="str">
        <f>IF(AND(A435=A434,I434=100,I435=100),"full access", " ")</f>
        <v>full access</v>
      </c>
      <c r="K434" s="2">
        <v>0</v>
      </c>
      <c r="L434" s="2">
        <v>2.8667534309999999E-2</v>
      </c>
      <c r="M434" s="2">
        <v>0</v>
      </c>
      <c r="N434" s="2" t="s">
        <v>45</v>
      </c>
      <c r="O434" s="2" t="str">
        <f>IFERROR(ROUND(N434,0),"null")</f>
        <v>null</v>
      </c>
      <c r="P434" s="2" t="str">
        <f>IF(AND(A434=A435,O434=100,O435=100),"full access"," ")</f>
        <v xml:space="preserve"> </v>
      </c>
      <c r="Q434" s="2" t="str">
        <f>IFERROR(IF(A435=A434,((N434-N435)/(C434-C435)),""),"null")</f>
        <v>null</v>
      </c>
      <c r="R434" s="2" t="s">
        <v>45</v>
      </c>
      <c r="S434" s="2" t="s">
        <v>45</v>
      </c>
      <c r="T434" s="2" t="s">
        <v>45</v>
      </c>
      <c r="U434" s="2" t="s">
        <v>45</v>
      </c>
      <c r="V434" s="2" t="str">
        <f>IFERROR(ROUND(U434,0),"null")</f>
        <v>null</v>
      </c>
      <c r="W434" s="2" t="str">
        <f>IF(AND(A434=A435,V434=100,V435=100),"full access","")</f>
        <v/>
      </c>
      <c r="X434" s="2" t="str">
        <f>IFERROR(IF(A435=A434,((U434-U435)/(C434-C435)),""),"null")</f>
        <v>null</v>
      </c>
      <c r="Y434" s="2" t="s">
        <v>45</v>
      </c>
      <c r="Z434" s="2" t="s">
        <v>45</v>
      </c>
      <c r="AA434" s="2" t="s">
        <v>45</v>
      </c>
      <c r="AB434" s="2" t="str">
        <f>IFERROR(IF(A435=A434, Q434-X434, ""), "null")</f>
        <v>null</v>
      </c>
    </row>
    <row r="435" spans="1:28">
      <c r="A435" s="2" t="s">
        <v>268</v>
      </c>
      <c r="B435" s="2" t="str">
        <f>VLOOKUP(A435,Regions!A:B,2,0)</f>
        <v>Europe &amp; Central Asia</v>
      </c>
      <c r="C435" s="2">
        <v>2020</v>
      </c>
      <c r="D435" s="2" t="str">
        <f>IF(A436=A435,ABS(C436-C435),"")</f>
        <v/>
      </c>
      <c r="E435" s="2" t="str">
        <f>IFERROR(IF(A436=A435,((H435-H436)/(C435-C436)), ""), "null")</f>
        <v/>
      </c>
      <c r="F435" s="2">
        <v>9890.4003909999992</v>
      </c>
      <c r="G435" s="2">
        <v>87.047996519999998</v>
      </c>
      <c r="H435" s="2">
        <v>99.965596000000005</v>
      </c>
      <c r="I435" s="2">
        <f>IFERROR(ROUND(H435,0),"null")</f>
        <v>100</v>
      </c>
      <c r="J435" s="2" t="str">
        <f>IF(AND(A436=A435,I435=100,I436=100),"full access", " ")</f>
        <v xml:space="preserve"> </v>
      </c>
      <c r="K435" s="2">
        <v>0</v>
      </c>
      <c r="L435" s="2">
        <v>3.4403999999999997E-2</v>
      </c>
      <c r="M435" s="2">
        <v>0</v>
      </c>
      <c r="N435" s="2" t="s">
        <v>45</v>
      </c>
      <c r="O435" s="2" t="str">
        <f>IFERROR(ROUND(N435,0),"null")</f>
        <v>null</v>
      </c>
      <c r="P435" s="2" t="str">
        <f>IF(AND(A435=A436,O435=100,O436=100),"full access"," ")</f>
        <v xml:space="preserve"> </v>
      </c>
      <c r="Q435" s="2" t="str">
        <f>IFERROR(IF(A436=A435,((N435-N436)/(C435-C436)),""),"null")</f>
        <v/>
      </c>
      <c r="R435" s="2" t="s">
        <v>45</v>
      </c>
      <c r="S435" s="2" t="s">
        <v>45</v>
      </c>
      <c r="T435" s="2" t="s">
        <v>45</v>
      </c>
      <c r="U435" s="2" t="s">
        <v>45</v>
      </c>
      <c r="V435" s="2" t="str">
        <f>IFERROR(ROUND(U435,0),"null")</f>
        <v>null</v>
      </c>
      <c r="W435" s="2" t="str">
        <f>IF(AND(A435=A436,V435=100,V436=100),"full access","")</f>
        <v/>
      </c>
      <c r="X435" s="2" t="str">
        <f>IFERROR(IF(A436=A435,((U435-U436)/(C435-C436)),""),"null")</f>
        <v/>
      </c>
      <c r="Y435" s="2" t="s">
        <v>45</v>
      </c>
      <c r="Z435" s="2" t="s">
        <v>45</v>
      </c>
      <c r="AA435" s="2" t="s">
        <v>45</v>
      </c>
      <c r="AB435" s="2" t="str">
        <f>IFERROR(IF(A436=A435, Q435-X435, ""), "null")</f>
        <v/>
      </c>
    </row>
    <row r="436" spans="1:28">
      <c r="A436" s="2" t="s">
        <v>269</v>
      </c>
      <c r="B436" s="2" t="str">
        <f>VLOOKUP(A436,Regions!A:B,2,0)</f>
        <v>Europe &amp; Central Asia</v>
      </c>
      <c r="C436" s="2">
        <v>2015</v>
      </c>
      <c r="D436" s="2">
        <f>IF(A437=A436,ABS(C437-C436),"")</f>
        <v>5</v>
      </c>
      <c r="E436" s="2">
        <f>IFERROR(IF(A437=A436,((H436-H437)/(C436-C437)), ""), "null")</f>
        <v>-5.8800000033443214E-7</v>
      </c>
      <c r="F436" s="2">
        <v>65860.148440000004</v>
      </c>
      <c r="G436" s="2">
        <v>82.625999449999995</v>
      </c>
      <c r="H436" s="2">
        <v>100.0000015</v>
      </c>
      <c r="I436" s="2">
        <f>IFERROR(ROUND(H436,0),"null")</f>
        <v>100</v>
      </c>
      <c r="J436" s="2" t="str">
        <f>IF(AND(A437=A436,I436=100,I437=100),"full access", " ")</f>
        <v>full access</v>
      </c>
      <c r="K436" s="2">
        <v>0</v>
      </c>
      <c r="L436" s="2">
        <v>0</v>
      </c>
      <c r="M436" s="2">
        <v>0</v>
      </c>
      <c r="N436" s="2">
        <v>100</v>
      </c>
      <c r="O436" s="2">
        <f>IFERROR(ROUND(N436,0),"null")</f>
        <v>100</v>
      </c>
      <c r="P436" s="2" t="str">
        <f>IF(AND(A436=A437,O436=100,O437=100),"full access"," ")</f>
        <v>full access</v>
      </c>
      <c r="Q436" s="2">
        <f>IFERROR(IF(A437=A436,((N436-N437)/(C436-C437)),""),"null")</f>
        <v>0</v>
      </c>
      <c r="R436" s="2">
        <v>0</v>
      </c>
      <c r="S436" s="2">
        <v>0</v>
      </c>
      <c r="T436" s="2">
        <v>0</v>
      </c>
      <c r="U436" s="2">
        <v>100</v>
      </c>
      <c r="V436" s="2">
        <f>IFERROR(ROUND(U436,0),"null")</f>
        <v>100</v>
      </c>
      <c r="W436" s="2" t="str">
        <f>IF(AND(A436=A437,V436=100,V437=100),"full access","")</f>
        <v>full access</v>
      </c>
      <c r="X436" s="2">
        <f>IFERROR(IF(A437=A436,((U436-U437)/(C436-C437)),""),"null")</f>
        <v>0</v>
      </c>
      <c r="Y436" s="2">
        <v>0</v>
      </c>
      <c r="Z436" s="2">
        <v>0</v>
      </c>
      <c r="AA436" s="2">
        <v>0</v>
      </c>
      <c r="AB436" s="2">
        <f>IFERROR(IF(A437=A436, Q436-X436, ""), "null")</f>
        <v>0</v>
      </c>
    </row>
    <row r="437" spans="1:28">
      <c r="A437" s="2" t="s">
        <v>269</v>
      </c>
      <c r="B437" s="2" t="str">
        <f>VLOOKUP(A437,Regions!A:B,2,0)</f>
        <v>Europe &amp; Central Asia</v>
      </c>
      <c r="C437" s="2">
        <v>2020</v>
      </c>
      <c r="D437" s="2" t="str">
        <f>IF(A438=A437,ABS(C438-C437),"")</f>
        <v/>
      </c>
      <c r="E437" s="2" t="str">
        <f>IFERROR(IF(A438=A437,((H437-H438)/(C437-C438)), ""), "null")</f>
        <v/>
      </c>
      <c r="F437" s="2">
        <v>67886.007809999996</v>
      </c>
      <c r="G437" s="2">
        <v>83.902999879999996</v>
      </c>
      <c r="H437" s="2">
        <v>99.999998559999995</v>
      </c>
      <c r="I437" s="2">
        <f>IFERROR(ROUND(H437,0),"null")</f>
        <v>100</v>
      </c>
      <c r="J437" s="2" t="str">
        <f>IF(AND(A438=A437,I437=100,I438=100),"full access", " ")</f>
        <v xml:space="preserve"> </v>
      </c>
      <c r="K437" s="2">
        <v>0</v>
      </c>
      <c r="L437" s="2">
        <v>1.4385328199999999E-6</v>
      </c>
      <c r="M437" s="2">
        <v>0</v>
      </c>
      <c r="N437" s="2">
        <v>100</v>
      </c>
      <c r="O437" s="2">
        <f>IFERROR(ROUND(N437,0),"null")</f>
        <v>100</v>
      </c>
      <c r="P437" s="2" t="str">
        <f>IF(AND(A437=A438,O437=100,O438=100),"full access"," ")</f>
        <v xml:space="preserve"> </v>
      </c>
      <c r="Q437" s="2" t="str">
        <f>IFERROR(IF(A438=A437,((N437-N438)/(C437-C438)),""),"null")</f>
        <v/>
      </c>
      <c r="R437" s="2">
        <v>0</v>
      </c>
      <c r="S437" s="2">
        <v>0</v>
      </c>
      <c r="T437" s="2">
        <v>0</v>
      </c>
      <c r="U437" s="2">
        <v>100</v>
      </c>
      <c r="V437" s="2">
        <f>IFERROR(ROUND(U437,0),"null")</f>
        <v>100</v>
      </c>
      <c r="W437" s="2" t="str">
        <f>IF(AND(A437=A438,V437=100,V438=100),"full access","")</f>
        <v/>
      </c>
      <c r="X437" s="2" t="str">
        <f>IFERROR(IF(A438=A437,((U437-U438)/(C437-C438)),""),"null")</f>
        <v/>
      </c>
      <c r="Y437" s="2">
        <v>0</v>
      </c>
      <c r="Z437" s="2">
        <v>0</v>
      </c>
      <c r="AA437" s="2">
        <v>0</v>
      </c>
      <c r="AB437" s="2" t="str">
        <f>IFERROR(IF(A438=A437, Q437-X437, ""), "null")</f>
        <v/>
      </c>
    </row>
    <row r="438" spans="1:28">
      <c r="A438" s="2" t="s">
        <v>270</v>
      </c>
      <c r="B438" s="2" t="str">
        <f>VLOOKUP(A438,Regions!A:B,2,0)</f>
        <v>Sub-Saharan Africa</v>
      </c>
      <c r="C438" s="2">
        <v>2015</v>
      </c>
      <c r="D438" s="2">
        <f>IF(A439=A438,ABS(C439-C438),"")</f>
        <v>5</v>
      </c>
      <c r="E438" s="2">
        <f>IFERROR(IF(A439=A438,((H438-H439)/(C438-C439)), ""), "null")</f>
        <v>1.5506005999999999</v>
      </c>
      <c r="F438" s="2">
        <v>51482.636720000002</v>
      </c>
      <c r="G438" s="2">
        <v>31.617000579999999</v>
      </c>
      <c r="H438" s="2">
        <v>52.963794589999999</v>
      </c>
      <c r="I438" s="2">
        <f>IFERROR(ROUND(H438,0),"null")</f>
        <v>53</v>
      </c>
      <c r="J438" s="2" t="str">
        <f>IF(AND(A439=A438,I438=100,I439=100),"full access", " ")</f>
        <v xml:space="preserve"> </v>
      </c>
      <c r="K438" s="2">
        <v>11.30893693</v>
      </c>
      <c r="L438" s="2">
        <v>21.385247880000001</v>
      </c>
      <c r="M438" s="2">
        <v>14.3420206</v>
      </c>
      <c r="N438" s="2">
        <v>38.863424559999999</v>
      </c>
      <c r="O438" s="2">
        <f>IFERROR(ROUND(N438,0),"null")</f>
        <v>39</v>
      </c>
      <c r="P438" s="2" t="str">
        <f>IF(AND(A438=A439,O438=100,O439=100),"full access"," ")</f>
        <v xml:space="preserve"> </v>
      </c>
      <c r="Q438" s="2">
        <f>IFERROR(IF(A439=A438,((N438-N439)/(C438-C439)),""),"null")</f>
        <v>1.316708156</v>
      </c>
      <c r="R438" s="2">
        <v>13.19289824</v>
      </c>
      <c r="S438" s="2">
        <v>28.1932841</v>
      </c>
      <c r="T438" s="2">
        <v>19.750393110000001</v>
      </c>
      <c r="U438" s="2">
        <v>83.4608554</v>
      </c>
      <c r="V438" s="2">
        <f>IFERROR(ROUND(U438,0),"null")</f>
        <v>83</v>
      </c>
      <c r="W438" s="2" t="str">
        <f>IF(AND(A438=A439,V438=100,V439=100),"full access","")</f>
        <v/>
      </c>
      <c r="X438" s="2">
        <f>IFERROR(IF(A439=A438,((U438-U439)/(C438-C439)),""),"null")</f>
        <v>1.0666138999999988</v>
      </c>
      <c r="Y438" s="2">
        <v>7.2342011279999996</v>
      </c>
      <c r="Z438" s="2">
        <v>6.6604502999999999</v>
      </c>
      <c r="AA438" s="2">
        <v>2.6444931710000001</v>
      </c>
      <c r="AB438" s="2">
        <f>IFERROR(IF(A439=A438, Q438-X438, ""), "null")</f>
        <v>0.25009425600000124</v>
      </c>
    </row>
    <row r="439" spans="1:28">
      <c r="A439" s="2" t="s">
        <v>270</v>
      </c>
      <c r="B439" s="2" t="str">
        <f>VLOOKUP(A439,Regions!A:B,2,0)</f>
        <v>Sub-Saharan Africa</v>
      </c>
      <c r="C439" s="2">
        <v>2020</v>
      </c>
      <c r="D439" s="2" t="str">
        <f>IF(A440=A439,ABS(C440-C439),"")</f>
        <v/>
      </c>
      <c r="E439" s="2" t="str">
        <f>IFERROR(IF(A440=A439,((H439-H440)/(C439-C440)), ""), "null")</f>
        <v/>
      </c>
      <c r="F439" s="2">
        <v>59734.214840000001</v>
      </c>
      <c r="G439" s="2">
        <v>35.227001190000003</v>
      </c>
      <c r="H439" s="2">
        <v>60.716797589999999</v>
      </c>
      <c r="I439" s="2">
        <f>IFERROR(ROUND(H439,0),"null")</f>
        <v>61</v>
      </c>
      <c r="J439" s="2" t="str">
        <f>IF(AND(A440=A439,I439=100,I440=100),"full access", " ")</f>
        <v xml:space="preserve"> </v>
      </c>
      <c r="K439" s="2">
        <v>11.29007067</v>
      </c>
      <c r="L439" s="2">
        <v>14.51775136</v>
      </c>
      <c r="M439" s="2">
        <v>13.475380380000001</v>
      </c>
      <c r="N439" s="2">
        <v>45.446965339999998</v>
      </c>
      <c r="O439" s="2">
        <f>IFERROR(ROUND(N439,0),"null")</f>
        <v>45</v>
      </c>
      <c r="P439" s="2" t="str">
        <f>IF(AND(A439=A440,O439=100,O440=100),"full access"," ")</f>
        <v xml:space="preserve"> </v>
      </c>
      <c r="Q439" s="2" t="str">
        <f>IFERROR(IF(A440=A439,((N439-N440)/(C439-C440)),""),"null")</f>
        <v/>
      </c>
      <c r="R439" s="2">
        <v>13.98368881</v>
      </c>
      <c r="S439" s="2">
        <v>21.21996133</v>
      </c>
      <c r="T439" s="2">
        <v>19.349384520000001</v>
      </c>
      <c r="U439" s="2">
        <v>88.793924899999993</v>
      </c>
      <c r="V439" s="2">
        <f>IFERROR(ROUND(U439,0),"null")</f>
        <v>89</v>
      </c>
      <c r="W439" s="2" t="str">
        <f>IF(AND(A439=A440,V439=100,V440=100),"full access","")</f>
        <v/>
      </c>
      <c r="X439" s="2" t="str">
        <f>IFERROR(IF(A440=A439,((U439-U440)/(C439-C440)),""),"null")</f>
        <v/>
      </c>
      <c r="Y439" s="2">
        <v>6.3372311659999996</v>
      </c>
      <c r="Z439" s="2">
        <v>2.1941787860000002</v>
      </c>
      <c r="AA439" s="2">
        <v>2.6746651520000002</v>
      </c>
      <c r="AB439" s="2" t="str">
        <f>IFERROR(IF(A440=A439, Q439-X439, ""), "null")</f>
        <v/>
      </c>
    </row>
    <row r="440" spans="1:28">
      <c r="A440" s="2" t="s">
        <v>272</v>
      </c>
      <c r="B440" s="2" t="str">
        <f>VLOOKUP(A440,Regions!A:B,2,0)</f>
        <v>North America</v>
      </c>
      <c r="C440" s="2">
        <v>2015</v>
      </c>
      <c r="D440" s="2">
        <f>IF(A441=A440,ABS(C441-C440),"")</f>
        <v>5</v>
      </c>
      <c r="E440" s="2">
        <f>IFERROR(IF(A441=A440,((H440-H441)/(C440-C441)), ""), "null")</f>
        <v>8.7273784000001339E-2</v>
      </c>
      <c r="F440" s="2">
        <v>320878.3125</v>
      </c>
      <c r="G440" s="2">
        <v>81.671005249999993</v>
      </c>
      <c r="H440" s="2">
        <v>99.447157759999996</v>
      </c>
      <c r="I440" s="2">
        <f>IFERROR(ROUND(H440,0),"null")</f>
        <v>99</v>
      </c>
      <c r="J440" s="2" t="str">
        <f>IF(AND(A441=A440,I440=100,I441=100),"full access", " ")</f>
        <v xml:space="preserve"> </v>
      </c>
      <c r="K440" s="2">
        <v>0</v>
      </c>
      <c r="L440" s="2">
        <v>0.55284223720000003</v>
      </c>
      <c r="M440" s="2">
        <v>0</v>
      </c>
      <c r="N440" s="2">
        <v>97.780118509999994</v>
      </c>
      <c r="O440" s="2">
        <f>IFERROR(ROUND(N440,0),"null")</f>
        <v>98</v>
      </c>
      <c r="P440" s="2" t="str">
        <f>IF(AND(A440=A441,O440=100,O441=100),"full access"," ")</f>
        <v xml:space="preserve"> </v>
      </c>
      <c r="Q440" s="2">
        <f>IFERROR(IF(A441=A440,((N440-N441)/(C440-C441)),""),"null")</f>
        <v>0.37813376600000198</v>
      </c>
      <c r="R440" s="2">
        <v>0</v>
      </c>
      <c r="S440" s="2">
        <v>2.2198814850000002</v>
      </c>
      <c r="T440" s="2">
        <v>0</v>
      </c>
      <c r="U440" s="2">
        <v>99.821279809999993</v>
      </c>
      <c r="V440" s="2">
        <f>IFERROR(ROUND(U440,0),"null")</f>
        <v>100</v>
      </c>
      <c r="W440" s="2" t="str">
        <f>IF(AND(A440=A441,V440=100,V441=100),"full access","")</f>
        <v>full access</v>
      </c>
      <c r="X440" s="2">
        <f>IFERROR(IF(A441=A440,((U440-U441)/(C440-C441)),""),"null")</f>
        <v>2.1372932000002721E-2</v>
      </c>
      <c r="Y440" s="2">
        <v>0</v>
      </c>
      <c r="Z440" s="2">
        <v>0.1787201944</v>
      </c>
      <c r="AA440" s="2">
        <v>0</v>
      </c>
      <c r="AB440" s="2">
        <f>IFERROR(IF(A441=A440, Q440-X440, ""), "null")</f>
        <v>0.35676083399999925</v>
      </c>
    </row>
    <row r="441" spans="1:28">
      <c r="A441" s="2" t="s">
        <v>272</v>
      </c>
      <c r="B441" s="2" t="str">
        <f>VLOOKUP(A441,Regions!A:B,2,0)</f>
        <v>North America</v>
      </c>
      <c r="C441" s="2">
        <v>2020</v>
      </c>
      <c r="D441" s="2" t="str">
        <f>IF(A442=A441,ABS(C442-C441),"")</f>
        <v/>
      </c>
      <c r="E441" s="2" t="str">
        <f>IFERROR(IF(A442=A441,((H441-H442)/(C441-C442)), ""), "null")</f>
        <v/>
      </c>
      <c r="F441" s="2">
        <v>331002.65629999997</v>
      </c>
      <c r="G441" s="2">
        <v>82.664001459999994</v>
      </c>
      <c r="H441" s="2">
        <v>99.883526680000003</v>
      </c>
      <c r="I441" s="2">
        <f>IFERROR(ROUND(H441,0),"null")</f>
        <v>100</v>
      </c>
      <c r="J441" s="2" t="str">
        <f>IF(AND(A442=A441,I441=100,I442=100),"full access", " ")</f>
        <v xml:space="preserve"> </v>
      </c>
      <c r="K441" s="2">
        <v>0</v>
      </c>
      <c r="L441" s="2">
        <v>0.1164733182</v>
      </c>
      <c r="M441" s="2">
        <v>0</v>
      </c>
      <c r="N441" s="2">
        <v>99.670787340000004</v>
      </c>
      <c r="O441" s="2">
        <f>IFERROR(ROUND(N441,0),"null")</f>
        <v>100</v>
      </c>
      <c r="P441" s="2" t="str">
        <f>IF(AND(A441=A442,O441=100,O442=100),"full access"," ")</f>
        <v xml:space="preserve"> </v>
      </c>
      <c r="Q441" s="2" t="str">
        <f>IFERROR(IF(A442=A441,((N441-N442)/(C441-C442)),""),"null")</f>
        <v/>
      </c>
      <c r="R441" s="2">
        <v>0</v>
      </c>
      <c r="S441" s="2">
        <v>0.3292126628</v>
      </c>
      <c r="T441" s="2">
        <v>0</v>
      </c>
      <c r="U441" s="2">
        <v>99.928144470000007</v>
      </c>
      <c r="V441" s="2">
        <f>IFERROR(ROUND(U441,0),"null")</f>
        <v>100</v>
      </c>
      <c r="W441" s="2" t="str">
        <f>IF(AND(A441=A442,V441=100,V442=100),"full access","")</f>
        <v/>
      </c>
      <c r="X441" s="2" t="str">
        <f>IFERROR(IF(A442=A441,((U441-U442)/(C441-C442)),""),"null")</f>
        <v/>
      </c>
      <c r="Y441" s="2">
        <v>0</v>
      </c>
      <c r="Z441" s="2">
        <v>7.1855529599999995E-2</v>
      </c>
      <c r="AA441" s="2">
        <v>0</v>
      </c>
      <c r="AB441" s="2" t="str">
        <f>IFERROR(IF(A442=A441, Q441-X441, ""), "null")</f>
        <v/>
      </c>
    </row>
    <row r="442" spans="1:28">
      <c r="A442" s="2" t="s">
        <v>273</v>
      </c>
      <c r="B442" s="2" t="str">
        <f>VLOOKUP(A442,Regions!A:B,2,0)</f>
        <v>Latin America &amp; Caribbean</v>
      </c>
      <c r="C442" s="2">
        <v>2015</v>
      </c>
      <c r="D442" s="2">
        <f>IF(A443=A442,ABS(C443-C442),"")</f>
        <v>5</v>
      </c>
      <c r="E442" s="2">
        <f>IFERROR(IF(A443=A442,((H442-H443)/(C442-C443)), ""), "null")</f>
        <v>-1.0860000003276582E-6</v>
      </c>
      <c r="F442" s="2">
        <v>104.9499969</v>
      </c>
      <c r="G442" s="2">
        <v>95.349998470000003</v>
      </c>
      <c r="H442" s="2">
        <v>98.718272810000002</v>
      </c>
      <c r="I442" s="2">
        <f>IFERROR(ROUND(H442,0),"null")</f>
        <v>99</v>
      </c>
      <c r="J442" s="2" t="str">
        <f>IF(AND(A443=A442,I442=100,I443=100),"full access", " ")</f>
        <v xml:space="preserve"> </v>
      </c>
      <c r="K442" s="2">
        <v>0</v>
      </c>
      <c r="L442" s="2">
        <v>1.2817271859999999</v>
      </c>
      <c r="M442" s="2">
        <v>0</v>
      </c>
      <c r="N442" s="2" t="s">
        <v>45</v>
      </c>
      <c r="O442" s="2" t="str">
        <f>IFERROR(ROUND(N442,0),"null")</f>
        <v>null</v>
      </c>
      <c r="P442" s="2" t="str">
        <f>IF(AND(A442=A443,O442=100,O443=100),"full access"," ")</f>
        <v xml:space="preserve"> </v>
      </c>
      <c r="Q442" s="2" t="str">
        <f>IFERROR(IF(A443=A442,((N442-N443)/(C442-C443)),""),"null")</f>
        <v>null</v>
      </c>
      <c r="R442" s="2" t="s">
        <v>45</v>
      </c>
      <c r="S442" s="2" t="s">
        <v>45</v>
      </c>
      <c r="T442" s="2" t="s">
        <v>45</v>
      </c>
      <c r="U442" s="2" t="s">
        <v>45</v>
      </c>
      <c r="V442" s="2" t="str">
        <f>IFERROR(ROUND(U442,0),"null")</f>
        <v>null</v>
      </c>
      <c r="W442" s="2" t="str">
        <f>IF(AND(A442=A443,V442=100,V443=100),"full access","")</f>
        <v/>
      </c>
      <c r="X442" s="2" t="str">
        <f>IFERROR(IF(A443=A442,((U442-U443)/(C442-C443)),""),"null")</f>
        <v>null</v>
      </c>
      <c r="Y442" s="2" t="s">
        <v>45</v>
      </c>
      <c r="Z442" s="2" t="s">
        <v>45</v>
      </c>
      <c r="AA442" s="2" t="s">
        <v>45</v>
      </c>
      <c r="AB442" s="2" t="str">
        <f>IFERROR(IF(A443=A442, Q442-X442, ""), "null")</f>
        <v>null</v>
      </c>
    </row>
    <row r="443" spans="1:28">
      <c r="A443" s="2" t="s">
        <v>273</v>
      </c>
      <c r="B443" s="2" t="str">
        <f>VLOOKUP(A443,Regions!A:B,2,0)</f>
        <v>Latin America &amp; Caribbean</v>
      </c>
      <c r="C443" s="2">
        <v>2020</v>
      </c>
      <c r="D443" s="2" t="str">
        <f>IF(A444=A443,ABS(C444-C443),"")</f>
        <v/>
      </c>
      <c r="E443" s="2" t="str">
        <f>IFERROR(IF(A444=A443,((H443-H444)/(C443-C444)), ""), "null")</f>
        <v/>
      </c>
      <c r="F443" s="2">
        <v>104.4229965</v>
      </c>
      <c r="G443" s="2">
        <v>95.939002990000006</v>
      </c>
      <c r="H443" s="2">
        <v>98.71826738</v>
      </c>
      <c r="I443" s="2">
        <f>IFERROR(ROUND(H443,0),"null")</f>
        <v>99</v>
      </c>
      <c r="J443" s="2" t="str">
        <f>IF(AND(A444=A443,I443=100,I444=100),"full access", " ")</f>
        <v xml:space="preserve"> </v>
      </c>
      <c r="K443" s="2">
        <v>0</v>
      </c>
      <c r="L443" s="2">
        <v>1.281732624</v>
      </c>
      <c r="M443" s="2">
        <v>0</v>
      </c>
      <c r="N443" s="2" t="s">
        <v>45</v>
      </c>
      <c r="O443" s="2" t="str">
        <f>IFERROR(ROUND(N443,0),"null")</f>
        <v>null</v>
      </c>
      <c r="P443" s="2" t="str">
        <f>IF(AND(A443=A444,O443=100,O444=100),"full access"," ")</f>
        <v xml:space="preserve"> </v>
      </c>
      <c r="Q443" s="2" t="str">
        <f>IFERROR(IF(A444=A443,((N443-N444)/(C443-C444)),""),"null")</f>
        <v/>
      </c>
      <c r="R443" s="2" t="s">
        <v>45</v>
      </c>
      <c r="S443" s="2" t="s">
        <v>45</v>
      </c>
      <c r="T443" s="2" t="s">
        <v>45</v>
      </c>
      <c r="U443" s="2" t="s">
        <v>45</v>
      </c>
      <c r="V443" s="2" t="str">
        <f>IFERROR(ROUND(U443,0),"null")</f>
        <v>null</v>
      </c>
      <c r="W443" s="2" t="str">
        <f>IF(AND(A443=A444,V443=100,V444=100),"full access","")</f>
        <v/>
      </c>
      <c r="X443" s="2" t="str">
        <f>IFERROR(IF(A444=A443,((U443-U444)/(C443-C444)),""),"null")</f>
        <v/>
      </c>
      <c r="Y443" s="2" t="s">
        <v>45</v>
      </c>
      <c r="Z443" s="2" t="s">
        <v>45</v>
      </c>
      <c r="AA443" s="2" t="s">
        <v>45</v>
      </c>
      <c r="AB443" s="2" t="str">
        <f>IFERROR(IF(A444=A443, Q443-X443, ""), "null")</f>
        <v/>
      </c>
    </row>
    <row r="444" spans="1:28">
      <c r="A444" s="2" t="s">
        <v>274</v>
      </c>
      <c r="B444" s="2" t="str">
        <f>VLOOKUP(A444,Regions!A:B,2,0)</f>
        <v>Latin America &amp; Caribbean</v>
      </c>
      <c r="C444" s="2">
        <v>2015</v>
      </c>
      <c r="D444" s="2">
        <f>IF(A445=A444,ABS(C445-C444),"")</f>
        <v>5</v>
      </c>
      <c r="E444" s="2">
        <f>IFERROR(IF(A445=A444,((H444-H445)/(C444-C445)), ""), "null")</f>
        <v>7.2872000000000978E-2</v>
      </c>
      <c r="F444" s="2">
        <v>3412.0129390000002</v>
      </c>
      <c r="G444" s="2">
        <v>95.04499817</v>
      </c>
      <c r="H444" s="2">
        <v>99.131397559999996</v>
      </c>
      <c r="I444" s="2">
        <f>IFERROR(ROUND(H444,0),"null")</f>
        <v>99</v>
      </c>
      <c r="J444" s="2" t="str">
        <f>IF(AND(A445=A444,I444=100,I445=100),"full access", " ")</f>
        <v xml:space="preserve"> </v>
      </c>
      <c r="K444" s="2">
        <v>0.53810473530000003</v>
      </c>
      <c r="L444" s="2">
        <v>0.30749747300000002</v>
      </c>
      <c r="M444" s="2">
        <v>2.3000230189999998E-2</v>
      </c>
      <c r="N444" s="2">
        <v>91.495843840000006</v>
      </c>
      <c r="O444" s="2">
        <f>IFERROR(ROUND(N444,0),"null")</f>
        <v>91</v>
      </c>
      <c r="P444" s="2" t="str">
        <f>IF(AND(A444=A445,O444=100,O445=100),"full access"," ")</f>
        <v xml:space="preserve"> </v>
      </c>
      <c r="Q444" s="2">
        <f>IFERROR(IF(A445=A444,((N444-N445)/(C444-C445)),""),"null")</f>
        <v>0.76099723199999969</v>
      </c>
      <c r="R444" s="2">
        <v>4.5115506810000001</v>
      </c>
      <c r="S444" s="2">
        <v>3.5284232109999998</v>
      </c>
      <c r="T444" s="2">
        <v>0.46418227099999998</v>
      </c>
      <c r="U444" s="2">
        <v>99.529461979999994</v>
      </c>
      <c r="V444" s="2">
        <f>IFERROR(ROUND(U444,0),"null")</f>
        <v>100</v>
      </c>
      <c r="W444" s="2" t="str">
        <f>IF(AND(A444=A445,V444=100,V445=100),"full access","")</f>
        <v>full access</v>
      </c>
      <c r="X444" s="2">
        <f>IFERROR(IF(A445=A444,((U444-U445)/(C444-C445)),""),"null")</f>
        <v>3.2654492000000347E-2</v>
      </c>
      <c r="Y444" s="2">
        <v>0.3309562908</v>
      </c>
      <c r="Z444" s="2">
        <v>0.13958172699999999</v>
      </c>
      <c r="AA444" s="2">
        <v>0</v>
      </c>
      <c r="AB444" s="2">
        <f>IFERROR(IF(A445=A444, Q444-X444, ""), "null")</f>
        <v>0.72834273999999932</v>
      </c>
    </row>
    <row r="445" spans="1:28">
      <c r="A445" s="2" t="s">
        <v>274</v>
      </c>
      <c r="B445" s="2" t="str">
        <f>VLOOKUP(A445,Regions!A:B,2,0)</f>
        <v>Latin America &amp; Caribbean</v>
      </c>
      <c r="C445" s="2">
        <v>2020</v>
      </c>
      <c r="D445" s="2" t="str">
        <f>IF(A446=A445,ABS(C446-C445),"")</f>
        <v/>
      </c>
      <c r="E445" s="2" t="str">
        <f>IFERROR(IF(A446=A445,((H445-H446)/(C445-C446)), ""), "null")</f>
        <v/>
      </c>
      <c r="F445" s="2">
        <v>3473.7270509999998</v>
      </c>
      <c r="G445" s="2">
        <v>95.51499939</v>
      </c>
      <c r="H445" s="2">
        <v>99.495757560000001</v>
      </c>
      <c r="I445" s="2">
        <f>IFERROR(ROUND(H445,0),"null")</f>
        <v>99</v>
      </c>
      <c r="J445" s="2" t="str">
        <f>IF(AND(A446=A445,I445=100,I446=100),"full access", " ")</f>
        <v xml:space="preserve"> </v>
      </c>
      <c r="K445" s="2">
        <v>0.50424244119999995</v>
      </c>
      <c r="L445" s="2">
        <v>0</v>
      </c>
      <c r="M445" s="2">
        <v>0</v>
      </c>
      <c r="N445" s="2">
        <v>95.300830000000005</v>
      </c>
      <c r="O445" s="2">
        <f>IFERROR(ROUND(N445,0),"null")</f>
        <v>95</v>
      </c>
      <c r="P445" s="2" t="str">
        <f>IF(AND(A445=A446,O445=100,O446=100),"full access"," ")</f>
        <v xml:space="preserve"> </v>
      </c>
      <c r="Q445" s="2" t="str">
        <f>IFERROR(IF(A446=A445,((N445-N446)/(C445-C446)),""),"null")</f>
        <v/>
      </c>
      <c r="R445" s="2">
        <v>4.6991699999999996</v>
      </c>
      <c r="S445" s="2">
        <v>0</v>
      </c>
      <c r="T445" s="2">
        <v>0</v>
      </c>
      <c r="U445" s="2">
        <v>99.692734439999995</v>
      </c>
      <c r="V445" s="2">
        <f>IFERROR(ROUND(U445,0),"null")</f>
        <v>100</v>
      </c>
      <c r="W445" s="2" t="str">
        <f>IF(AND(A445=A446,V445=100,V446=100),"full access","")</f>
        <v/>
      </c>
      <c r="X445" s="2" t="str">
        <f>IFERROR(IF(A446=A445,((U445-U446)/(C445-C446)),""),"null")</f>
        <v/>
      </c>
      <c r="Y445" s="2">
        <v>0.30726556170000002</v>
      </c>
      <c r="Z445" s="2">
        <v>0</v>
      </c>
      <c r="AA445" s="2">
        <v>0</v>
      </c>
      <c r="AB445" s="2" t="str">
        <f>IFERROR(IF(A446=A445, Q445-X445, ""), "null")</f>
        <v/>
      </c>
    </row>
    <row r="446" spans="1:28">
      <c r="A446" s="2" t="s">
        <v>275</v>
      </c>
      <c r="B446" s="2" t="str">
        <f>VLOOKUP(A446,Regions!A:B,2,0)</f>
        <v>Europe &amp; Central Asia</v>
      </c>
      <c r="C446" s="2">
        <v>2015</v>
      </c>
      <c r="D446" s="2">
        <f>IF(A447=A446,ABS(C447-C446),"")</f>
        <v>5</v>
      </c>
      <c r="E446" s="2">
        <f>IFERROR(IF(A447=A446,((H446-H447)/(C446-C447)), ""), "null")</f>
        <v>6.0041318000000385E-2</v>
      </c>
      <c r="F446" s="2">
        <v>30929.556639999999</v>
      </c>
      <c r="G446" s="2">
        <v>50.75</v>
      </c>
      <c r="H446" s="2">
        <v>97.528578260000003</v>
      </c>
      <c r="I446" s="2">
        <f>IFERROR(ROUND(H446,0),"null")</f>
        <v>98</v>
      </c>
      <c r="J446" s="2" t="str">
        <f>IF(AND(A447=A446,I446=100,I447=100),"full access", " ")</f>
        <v xml:space="preserve"> </v>
      </c>
      <c r="K446" s="2">
        <v>0</v>
      </c>
      <c r="L446" s="2">
        <v>0</v>
      </c>
      <c r="M446" s="2">
        <v>2.4714217359999999</v>
      </c>
      <c r="N446" s="2">
        <v>95.642391549999999</v>
      </c>
      <c r="O446" s="2">
        <f>IFERROR(ROUND(N446,0),"null")</f>
        <v>96</v>
      </c>
      <c r="P446" s="2" t="str">
        <f>IF(AND(A446=A447,O446=100,O447=100),"full access"," ")</f>
        <v xml:space="preserve"> </v>
      </c>
      <c r="Q446" s="2">
        <f>IFERROR(IF(A447=A446,((N446-N447)/(C446-C447)),""),"null")</f>
        <v>8.6038161999999835E-2</v>
      </c>
      <c r="R446" s="2">
        <v>0</v>
      </c>
      <c r="S446" s="2">
        <v>0</v>
      </c>
      <c r="T446" s="2">
        <v>4.3576084509999999</v>
      </c>
      <c r="U446" s="2">
        <v>99.359015619999994</v>
      </c>
      <c r="V446" s="2">
        <f>IFERROR(ROUND(U446,0),"null")</f>
        <v>99</v>
      </c>
      <c r="W446" s="2" t="str">
        <f>IF(AND(A446=A447,V446=100,V447=100),"full access","")</f>
        <v/>
      </c>
      <c r="X446" s="2">
        <f>IFERROR(IF(A447=A446,((U446-U447)/(C446-C447)),""),"null")</f>
        <v>3.9397988000001757E-2</v>
      </c>
      <c r="Y446" s="2">
        <v>0</v>
      </c>
      <c r="Z446" s="2">
        <v>0</v>
      </c>
      <c r="AA446" s="2">
        <v>0.64098438430000004</v>
      </c>
      <c r="AB446" s="2">
        <f>IFERROR(IF(A447=A446, Q446-X446, ""), "null")</f>
        <v>4.6640173999998077E-2</v>
      </c>
    </row>
    <row r="447" spans="1:28">
      <c r="A447" s="2" t="s">
        <v>275</v>
      </c>
      <c r="B447" s="2" t="str">
        <f>VLOOKUP(A447,Regions!A:B,2,0)</f>
        <v>Europe &amp; Central Asia</v>
      </c>
      <c r="C447" s="2">
        <v>2020</v>
      </c>
      <c r="D447" s="2" t="str">
        <f>IF(A448=A447,ABS(C448-C447),"")</f>
        <v/>
      </c>
      <c r="E447" s="2" t="str">
        <f>IFERROR(IF(A448=A447,((H447-H448)/(C447-C448)), ""), "null")</f>
        <v/>
      </c>
      <c r="F447" s="2">
        <v>33469.199220000002</v>
      </c>
      <c r="G447" s="2">
        <v>50.415996550000003</v>
      </c>
      <c r="H447" s="2">
        <v>97.828784850000005</v>
      </c>
      <c r="I447" s="2">
        <f>IFERROR(ROUND(H447,0),"null")</f>
        <v>98</v>
      </c>
      <c r="J447" s="2" t="str">
        <f>IF(AND(A448=A447,I447=100,I448=100),"full access", " ")</f>
        <v xml:space="preserve"> </v>
      </c>
      <c r="K447" s="2">
        <v>0</v>
      </c>
      <c r="L447" s="2">
        <v>0.22384422000000001</v>
      </c>
      <c r="M447" s="2">
        <v>1.947370925</v>
      </c>
      <c r="N447" s="2">
        <v>96.072582359999998</v>
      </c>
      <c r="O447" s="2">
        <f>IFERROR(ROUND(N447,0),"null")</f>
        <v>96</v>
      </c>
      <c r="P447" s="2" t="str">
        <f>IF(AND(A447=A448,O447=100,O448=100),"full access"," ")</f>
        <v xml:space="preserve"> </v>
      </c>
      <c r="Q447" s="2" t="str">
        <f>IFERROR(IF(A448=A447,((N447-N448)/(C447-C448)),""),"null")</f>
        <v/>
      </c>
      <c r="R447" s="2">
        <v>0</v>
      </c>
      <c r="S447" s="2">
        <v>0</v>
      </c>
      <c r="T447" s="2">
        <v>3.927417637</v>
      </c>
      <c r="U447" s="2">
        <v>99.556005560000003</v>
      </c>
      <c r="V447" s="2">
        <f>IFERROR(ROUND(U447,0),"null")</f>
        <v>100</v>
      </c>
      <c r="W447" s="2" t="str">
        <f>IF(AND(A447=A448,V447=100,V448=100),"full access","")</f>
        <v/>
      </c>
      <c r="X447" s="2" t="str">
        <f>IFERROR(IF(A448=A447,((U447-U448)/(C447-C448)),""),"null")</f>
        <v/>
      </c>
      <c r="Y447" s="2">
        <v>0</v>
      </c>
      <c r="Z447" s="2">
        <v>0.44399444339999999</v>
      </c>
      <c r="AA447" s="2">
        <v>0</v>
      </c>
      <c r="AB447" s="2" t="str">
        <f>IFERROR(IF(A448=A447, Q447-X447, ""), "null")</f>
        <v/>
      </c>
    </row>
    <row r="448" spans="1:28">
      <c r="A448" s="2" t="s">
        <v>276</v>
      </c>
      <c r="B448" s="2" t="str">
        <f>VLOOKUP(A448,Regions!A:B,2,0)</f>
        <v>East Asia &amp; Pacific</v>
      </c>
      <c r="C448" s="2">
        <v>2015</v>
      </c>
      <c r="D448" s="2">
        <f>IF(A449=A448,ABS(C449-C448),"")</f>
        <v>5</v>
      </c>
      <c r="E448" s="2">
        <f>IFERROR(IF(A449=A448,((H448-H449)/(C448-C449)), ""), "null")</f>
        <v>0.24860285199999907</v>
      </c>
      <c r="F448" s="2">
        <v>271.1279907</v>
      </c>
      <c r="G448" s="2">
        <v>24.961002350000001</v>
      </c>
      <c r="H448" s="2">
        <v>89.988176490000001</v>
      </c>
      <c r="I448" s="2">
        <f>IFERROR(ROUND(H448,0),"null")</f>
        <v>90</v>
      </c>
      <c r="J448" s="2" t="str">
        <f>IF(AND(A449=A448,I448=100,I449=100),"full access", " ")</f>
        <v xml:space="preserve"> </v>
      </c>
      <c r="K448" s="2">
        <v>1.05094321</v>
      </c>
      <c r="L448" s="2">
        <v>1.545004807</v>
      </c>
      <c r="M448" s="2">
        <v>7.4158754880000002</v>
      </c>
      <c r="N448" s="2">
        <v>86.978050659999994</v>
      </c>
      <c r="O448" s="2">
        <f>IFERROR(ROUND(N448,0),"null")</f>
        <v>87</v>
      </c>
      <c r="P448" s="2" t="str">
        <f>IF(AND(A448=A449,O448=100,O449=100),"full access"," ")</f>
        <v xml:space="preserve"> </v>
      </c>
      <c r="Q448" s="2">
        <f>IFERROR(IF(A449=A448,((N448-N449)/(C448-C449)),""),"null")</f>
        <v>0.28383011399999986</v>
      </c>
      <c r="R448" s="2">
        <v>1.234982464</v>
      </c>
      <c r="S448" s="2">
        <v>1.9042720630000001</v>
      </c>
      <c r="T448" s="2">
        <v>9.8826948130000005</v>
      </c>
      <c r="U448" s="2">
        <v>99.037355989999995</v>
      </c>
      <c r="V448" s="2">
        <f>IFERROR(ROUND(U448,0),"null")</f>
        <v>99</v>
      </c>
      <c r="W448" s="2" t="str">
        <f>IF(AND(A448=A449,V448=100,V449=100),"full access","")</f>
        <v/>
      </c>
      <c r="X448" s="2">
        <f>IFERROR(IF(A449=A448,((U448-U449)/(C448-C449)),""),"null")</f>
        <v>9.2528802000001062E-2</v>
      </c>
      <c r="Y448" s="2">
        <v>0.49767515569999998</v>
      </c>
      <c r="Z448" s="2">
        <v>0.46496885310000002</v>
      </c>
      <c r="AA448" s="2">
        <v>0</v>
      </c>
      <c r="AB448" s="2">
        <f>IFERROR(IF(A449=A448, Q448-X448, ""), "null")</f>
        <v>0.19130131199999878</v>
      </c>
    </row>
    <row r="449" spans="1:28">
      <c r="A449" s="2" t="s">
        <v>276</v>
      </c>
      <c r="B449" s="2" t="str">
        <f>VLOOKUP(A449,Regions!A:B,2,0)</f>
        <v>East Asia &amp; Pacific</v>
      </c>
      <c r="C449" s="2">
        <v>2020</v>
      </c>
      <c r="D449" s="2" t="str">
        <f>IF(A450=A449,ABS(C450-C449),"")</f>
        <v/>
      </c>
      <c r="E449" s="2" t="str">
        <f>IFERROR(IF(A450=A449,((H449-H450)/(C449-C450)), ""), "null")</f>
        <v/>
      </c>
      <c r="F449" s="2">
        <v>307.14999390000003</v>
      </c>
      <c r="G449" s="2">
        <v>25.525001530000001</v>
      </c>
      <c r="H449" s="2">
        <v>91.231190749999996</v>
      </c>
      <c r="I449" s="2">
        <f>IFERROR(ROUND(H449,0),"null")</f>
        <v>91</v>
      </c>
      <c r="J449" s="2" t="str">
        <f>IF(AND(A450=A449,I449=100,I450=100),"full access", " ")</f>
        <v xml:space="preserve"> </v>
      </c>
      <c r="K449" s="2">
        <v>1.0623850500000001</v>
      </c>
      <c r="L449" s="2">
        <v>0</v>
      </c>
      <c r="M449" s="2">
        <v>7.706424202</v>
      </c>
      <c r="N449" s="2">
        <v>88.397201229999993</v>
      </c>
      <c r="O449" s="2">
        <f>IFERROR(ROUND(N449,0),"null")</f>
        <v>88</v>
      </c>
      <c r="P449" s="2" t="str">
        <f>IF(AND(A449=A450,O449=100,O450=100),"full access"," ")</f>
        <v xml:space="preserve"> </v>
      </c>
      <c r="Q449" s="2" t="str">
        <f>IFERROR(IF(A450=A449,((N449-N450)/(C449-C450)),""),"null")</f>
        <v/>
      </c>
      <c r="R449" s="2">
        <v>1.255132675</v>
      </c>
      <c r="S449" s="2">
        <v>0</v>
      </c>
      <c r="T449" s="2">
        <v>10.3476661</v>
      </c>
      <c r="U449" s="2">
        <v>99.5</v>
      </c>
      <c r="V449" s="2">
        <f>IFERROR(ROUND(U449,0),"null")</f>
        <v>100</v>
      </c>
      <c r="W449" s="2" t="str">
        <f>IF(AND(A449=A450,V449=100,V450=100),"full access","")</f>
        <v/>
      </c>
      <c r="X449" s="2" t="str">
        <f>IFERROR(IF(A450=A449,((U449-U450)/(C449-C450)),""),"null")</f>
        <v/>
      </c>
      <c r="Y449" s="2">
        <v>0.5</v>
      </c>
      <c r="Z449" s="2">
        <v>0</v>
      </c>
      <c r="AA449" s="2">
        <v>0</v>
      </c>
      <c r="AB449" s="2" t="str">
        <f>IFERROR(IF(A450=A449, Q449-X449, ""), "null")</f>
        <v/>
      </c>
    </row>
    <row r="450" spans="1:28">
      <c r="A450" s="2" t="s">
        <v>277</v>
      </c>
      <c r="B450" s="2" t="str">
        <f>VLOOKUP(A450,Regions!A:B,2,0)</f>
        <v>Latin America &amp; Caribbean</v>
      </c>
      <c r="C450" s="2">
        <v>2015</v>
      </c>
      <c r="D450" s="2">
        <f>IF(A451=A450,ABS(C451-C450),"")</f>
        <v>5</v>
      </c>
      <c r="E450" s="2">
        <f>IFERROR(IF(A451=A450,((H450-H451)/(C450-C451)), ""), "null")</f>
        <v>-0.17709485999999969</v>
      </c>
      <c r="F450" s="2">
        <v>30081.82617</v>
      </c>
      <c r="G450" s="2">
        <v>88.153999330000005</v>
      </c>
      <c r="H450" s="2">
        <v>94.571275009999994</v>
      </c>
      <c r="I450" s="2">
        <f>IFERROR(ROUND(H450,0),"null")</f>
        <v>95</v>
      </c>
      <c r="J450" s="2" t="str">
        <f>IF(AND(A451=A450,I450=100,I451=100),"full access", " ")</f>
        <v xml:space="preserve"> </v>
      </c>
      <c r="K450" s="2">
        <v>0.47523253770000001</v>
      </c>
      <c r="L450" s="2">
        <v>3.5752642610000001</v>
      </c>
      <c r="M450" s="2">
        <v>1.3782281919999999</v>
      </c>
      <c r="N450" s="2" t="s">
        <v>45</v>
      </c>
      <c r="O450" s="2" t="str">
        <f>IFERROR(ROUND(N450,0),"null")</f>
        <v>null</v>
      </c>
      <c r="P450" s="2" t="str">
        <f>IF(AND(A450=A451,O450=100,O451=100),"full access"," ")</f>
        <v xml:space="preserve"> </v>
      </c>
      <c r="Q450" s="2" t="str">
        <f>IFERROR(IF(A451=A450,((N450-N451)/(C450-C451)),""),"null")</f>
        <v>null</v>
      </c>
      <c r="R450" s="2" t="s">
        <v>45</v>
      </c>
      <c r="S450" s="2" t="s">
        <v>45</v>
      </c>
      <c r="T450" s="2" t="s">
        <v>45</v>
      </c>
      <c r="U450" s="2" t="s">
        <v>45</v>
      </c>
      <c r="V450" s="2" t="str">
        <f>IFERROR(ROUND(U450,0),"null")</f>
        <v>null</v>
      </c>
      <c r="W450" s="2" t="str">
        <f>IF(AND(A450=A451,V450=100,V451=100),"full access","")</f>
        <v/>
      </c>
      <c r="X450" s="2" t="str">
        <f>IFERROR(IF(A451=A450,((U450-U451)/(C450-C451)),""),"null")</f>
        <v>null</v>
      </c>
      <c r="Y450" s="2" t="s">
        <v>45</v>
      </c>
      <c r="Z450" s="2" t="s">
        <v>45</v>
      </c>
      <c r="AA450" s="2" t="s">
        <v>45</v>
      </c>
      <c r="AB450" s="2" t="str">
        <f>IFERROR(IF(A451=A450, Q450-X450, ""), "null")</f>
        <v>null</v>
      </c>
    </row>
    <row r="451" spans="1:28">
      <c r="A451" s="2" t="s">
        <v>277</v>
      </c>
      <c r="B451" s="2" t="str">
        <f>VLOOKUP(A451,Regions!A:B,2,0)</f>
        <v>Latin America &amp; Caribbean</v>
      </c>
      <c r="C451" s="2">
        <v>2020</v>
      </c>
      <c r="D451" s="2" t="str">
        <f>IF(A452=A451,ABS(C452-C451),"")</f>
        <v/>
      </c>
      <c r="E451" s="2" t="str">
        <f>IFERROR(IF(A452=A451,((H451-H452)/(C451-C452)), ""), "null")</f>
        <v/>
      </c>
      <c r="F451" s="2">
        <v>28435.943360000001</v>
      </c>
      <c r="G451" s="2">
        <v>88.278999330000005</v>
      </c>
      <c r="H451" s="2">
        <v>93.685800709999995</v>
      </c>
      <c r="I451" s="2">
        <f>IFERROR(ROUND(H451,0),"null")</f>
        <v>94</v>
      </c>
      <c r="J451" s="2" t="str">
        <f>IF(AND(A452=A451,I451=100,I452=100),"full access", " ")</f>
        <v xml:space="preserve"> </v>
      </c>
      <c r="K451" s="2">
        <v>0.4707829181</v>
      </c>
      <c r="L451" s="2">
        <v>5.8434163730000002</v>
      </c>
      <c r="M451" s="2" t="s">
        <v>45</v>
      </c>
      <c r="N451" s="2" t="s">
        <v>45</v>
      </c>
      <c r="O451" s="2" t="str">
        <f>IFERROR(ROUND(N451,0),"null")</f>
        <v>null</v>
      </c>
      <c r="P451" s="2" t="str">
        <f>IF(AND(A451=A452,O451=100,O452=100),"full access"," ")</f>
        <v xml:space="preserve"> </v>
      </c>
      <c r="Q451" s="2" t="str">
        <f>IFERROR(IF(A452=A451,((N451-N452)/(C451-C452)),""),"null")</f>
        <v/>
      </c>
      <c r="R451" s="2" t="s">
        <v>45</v>
      </c>
      <c r="S451" s="2" t="s">
        <v>45</v>
      </c>
      <c r="T451" s="2" t="s">
        <v>45</v>
      </c>
      <c r="U451" s="2" t="s">
        <v>45</v>
      </c>
      <c r="V451" s="2" t="str">
        <f>IFERROR(ROUND(U451,0),"null")</f>
        <v>null</v>
      </c>
      <c r="W451" s="2" t="str">
        <f>IF(AND(A451=A452,V451=100,V452=100),"full access","")</f>
        <v/>
      </c>
      <c r="X451" s="2" t="str">
        <f>IFERROR(IF(A452=A451,((U451-U452)/(C451-C452)),""),"null")</f>
        <v/>
      </c>
      <c r="Y451" s="2" t="s">
        <v>45</v>
      </c>
      <c r="Z451" s="2" t="s">
        <v>45</v>
      </c>
      <c r="AA451" s="2" t="s">
        <v>45</v>
      </c>
      <c r="AB451" s="2" t="str">
        <f>IFERROR(IF(A452=A451, Q451-X451, ""), "null")</f>
        <v/>
      </c>
    </row>
    <row r="452" spans="1:28">
      <c r="A452" s="2" t="s">
        <v>278</v>
      </c>
      <c r="B452" s="2" t="str">
        <f>VLOOKUP(A452,Regions!A:B,2,0)</f>
        <v>East Asia &amp; Pacific</v>
      </c>
      <c r="C452" s="2">
        <v>2015</v>
      </c>
      <c r="D452" s="2">
        <f>IF(A453=A452,ABS(C453-C452),"")</f>
        <v>5</v>
      </c>
      <c r="E452" s="2">
        <f>IFERROR(IF(A453=A452,((H452-H453)/(C452-C453)), ""), "null")</f>
        <v>0.71125925800000123</v>
      </c>
      <c r="F452" s="2">
        <v>92677.078129999994</v>
      </c>
      <c r="G452" s="2">
        <v>33.80900192</v>
      </c>
      <c r="H452" s="2">
        <v>93.328060579999999</v>
      </c>
      <c r="I452" s="2">
        <f>IFERROR(ROUND(H452,0),"null")</f>
        <v>93</v>
      </c>
      <c r="J452" s="2" t="str">
        <f>IF(AND(A453=A452,I452=100,I453=100),"full access", " ")</f>
        <v xml:space="preserve"> </v>
      </c>
      <c r="K452" s="2">
        <v>5.2071837849999997E-2</v>
      </c>
      <c r="L452" s="2">
        <v>6.1636180359999999</v>
      </c>
      <c r="M452" s="2">
        <v>0.45624954629999998</v>
      </c>
      <c r="N452" s="2">
        <v>90.833067990000004</v>
      </c>
      <c r="O452" s="2">
        <f>IFERROR(ROUND(N452,0),"null")</f>
        <v>91</v>
      </c>
      <c r="P452" s="2" t="str">
        <f>IF(AND(A452=A453,O452=100,O453=100),"full access"," ")</f>
        <v xml:space="preserve"> </v>
      </c>
      <c r="Q452" s="2">
        <f>IFERROR(IF(A453=A452,((N452-N453)/(C452-C453)),""),"null")</f>
        <v>0.93629408999999841</v>
      </c>
      <c r="R452" s="2">
        <v>0</v>
      </c>
      <c r="S452" s="2">
        <v>8.4776395650000005</v>
      </c>
      <c r="T452" s="2">
        <v>0.68929244290000002</v>
      </c>
      <c r="U452" s="2">
        <v>98.212743520000004</v>
      </c>
      <c r="V452" s="2">
        <f>IFERROR(ROUND(U452,0),"null")</f>
        <v>98</v>
      </c>
      <c r="W452" s="2" t="str">
        <f>IF(AND(A452=A453,V452=100,V453=100),"full access","")</f>
        <v/>
      </c>
      <c r="X452" s="2">
        <f>IFERROR(IF(A453=A452,((U452-U453)/(C452-C453)),""),"null")</f>
        <v>0.1940592979999991</v>
      </c>
      <c r="Y452" s="2">
        <v>0.15401768120000001</v>
      </c>
      <c r="Z452" s="2">
        <v>1.6332387960000001</v>
      </c>
      <c r="AA452" s="2">
        <v>0</v>
      </c>
      <c r="AB452" s="2">
        <f>IFERROR(IF(A453=A452, Q452-X452, ""), "null")</f>
        <v>0.74223479199999931</v>
      </c>
    </row>
    <row r="453" spans="1:28">
      <c r="A453" s="2" t="s">
        <v>278</v>
      </c>
      <c r="B453" s="2" t="str">
        <f>VLOOKUP(A453,Regions!A:B,2,0)</f>
        <v>East Asia &amp; Pacific</v>
      </c>
      <c r="C453" s="2">
        <v>2020</v>
      </c>
      <c r="D453" s="2" t="str">
        <f>IF(A454=A453,ABS(C454-C453),"")</f>
        <v/>
      </c>
      <c r="E453" s="2" t="str">
        <f>IFERROR(IF(A454=A453,((H453-H454)/(C453-C454)), ""), "null")</f>
        <v/>
      </c>
      <c r="F453" s="2">
        <v>97338.585940000004</v>
      </c>
      <c r="G453" s="2">
        <v>37.340000150000002</v>
      </c>
      <c r="H453" s="2">
        <v>96.884356870000005</v>
      </c>
      <c r="I453" s="2">
        <f>IFERROR(ROUND(H453,0),"null")</f>
        <v>97</v>
      </c>
      <c r="J453" s="2" t="str">
        <f>IF(AND(A454=A453,I453=100,I454=100),"full access", " ")</f>
        <v xml:space="preserve"> </v>
      </c>
      <c r="K453" s="2">
        <v>0</v>
      </c>
      <c r="L453" s="2">
        <v>3.1156431260000002</v>
      </c>
      <c r="M453" s="2">
        <v>0</v>
      </c>
      <c r="N453" s="2">
        <v>95.514538439999995</v>
      </c>
      <c r="O453" s="2">
        <f>IFERROR(ROUND(N453,0),"null")</f>
        <v>96</v>
      </c>
      <c r="P453" s="2" t="str">
        <f>IF(AND(A453=A454,O453=100,O454=100),"full access"," ")</f>
        <v xml:space="preserve"> </v>
      </c>
      <c r="Q453" s="2" t="str">
        <f>IFERROR(IF(A454=A453,((N453-N454)/(C453-C454)),""),"null")</f>
        <v/>
      </c>
      <c r="R453" s="2">
        <v>0</v>
      </c>
      <c r="S453" s="2">
        <v>4.4854615600000001</v>
      </c>
      <c r="T453" s="2">
        <v>0</v>
      </c>
      <c r="U453" s="2">
        <v>99.183040009999999</v>
      </c>
      <c r="V453" s="2">
        <f>IFERROR(ROUND(U453,0),"null")</f>
        <v>99</v>
      </c>
      <c r="W453" s="2" t="str">
        <f>IF(AND(A453=A454,V453=100,V454=100),"full access","")</f>
        <v/>
      </c>
      <c r="X453" s="2" t="str">
        <f>IFERROR(IF(A454=A453,((U453-U454)/(C453-C454)),""),"null")</f>
        <v/>
      </c>
      <c r="Y453" s="2">
        <v>0</v>
      </c>
      <c r="Z453" s="2">
        <v>0.81695998700000005</v>
      </c>
      <c r="AA453" s="2">
        <v>0</v>
      </c>
      <c r="AB453" s="2" t="str">
        <f>IFERROR(IF(A454=A453, Q453-X453, ""), "null")</f>
        <v/>
      </c>
    </row>
    <row r="454" spans="1:28">
      <c r="A454" s="2" t="s">
        <v>279</v>
      </c>
      <c r="B454" s="2" t="str">
        <f>VLOOKUP(A454,Regions!A:B,2,0)</f>
        <v>East Asia &amp; Pacific</v>
      </c>
      <c r="C454" s="2">
        <v>2015</v>
      </c>
      <c r="D454" s="2">
        <f>IF(A455=A454,ABS(C455-C454),"")</f>
        <v>5</v>
      </c>
      <c r="E454" s="2">
        <f>IFERROR(IF(A455=A454,((H454-H455)/(C454-C455)), ""), "null")</f>
        <v>-3.5618833999998857E-2</v>
      </c>
      <c r="F454" s="2">
        <v>12.26200008</v>
      </c>
      <c r="G454" s="2">
        <v>0</v>
      </c>
      <c r="H454" s="2">
        <v>99.321381529999996</v>
      </c>
      <c r="I454" s="2">
        <f>IFERROR(ROUND(H454,0),"null")</f>
        <v>99</v>
      </c>
      <c r="J454" s="2" t="str">
        <f>IF(AND(A455=A454,I454=100,I455=100),"full access", " ")</f>
        <v xml:space="preserve"> </v>
      </c>
      <c r="K454" s="2">
        <v>0</v>
      </c>
      <c r="L454" s="2">
        <v>0.67861847409999998</v>
      </c>
      <c r="M454" s="2">
        <v>0</v>
      </c>
      <c r="N454" s="2">
        <v>99.321381529999996</v>
      </c>
      <c r="O454" s="2">
        <f>IFERROR(ROUND(N454,0),"null")</f>
        <v>99</v>
      </c>
      <c r="P454" s="2" t="str">
        <f>IF(AND(A454=A455,O454=100,O455=100),"full access"," ")</f>
        <v xml:space="preserve"> </v>
      </c>
      <c r="Q454" s="2">
        <f>IFERROR(IF(A455=A454,((N454-N455)/(C454-C455)),""),"null")</f>
        <v>-3.5618833999998857E-2</v>
      </c>
      <c r="R454" s="2">
        <v>0</v>
      </c>
      <c r="S454" s="2">
        <v>0.67861847409999998</v>
      </c>
      <c r="T454" s="2">
        <v>0</v>
      </c>
      <c r="U454" s="2" t="s">
        <v>45</v>
      </c>
      <c r="V454" s="2" t="str">
        <f>IFERROR(ROUND(U454,0),"null")</f>
        <v>null</v>
      </c>
      <c r="W454" s="2" t="str">
        <f>IF(AND(A454=A455,V454=100,V455=100),"full access","")</f>
        <v/>
      </c>
      <c r="X454" s="2" t="str">
        <f>IFERROR(IF(A455=A454,((U454-U455)/(C454-C455)),""),"null")</f>
        <v>null</v>
      </c>
      <c r="Y454" s="2" t="s">
        <v>45</v>
      </c>
      <c r="Z454" s="2" t="s">
        <v>45</v>
      </c>
      <c r="AA454" s="2" t="s">
        <v>45</v>
      </c>
      <c r="AB454" s="2" t="str">
        <f>IFERROR(IF(A455=A454, Q454-X454, ""), "null")</f>
        <v>null</v>
      </c>
    </row>
    <row r="455" spans="1:28">
      <c r="A455" s="2" t="s">
        <v>279</v>
      </c>
      <c r="B455" s="2" t="str">
        <f>VLOOKUP(A455,Regions!A:B,2,0)</f>
        <v>East Asia &amp; Pacific</v>
      </c>
      <c r="C455" s="2">
        <v>2020</v>
      </c>
      <c r="D455" s="2" t="str">
        <f>IF(A456=A455,ABS(C456-C455),"")</f>
        <v/>
      </c>
      <c r="E455" s="2" t="str">
        <f>IFERROR(IF(A456=A455,((H455-H456)/(C455-C456)), ""), "null")</f>
        <v/>
      </c>
      <c r="F455" s="2">
        <v>11.24600029</v>
      </c>
      <c r="G455" s="2">
        <v>0</v>
      </c>
      <c r="H455" s="2">
        <v>99.143287360000002</v>
      </c>
      <c r="I455" s="2">
        <f>IFERROR(ROUND(H455,0),"null")</f>
        <v>99</v>
      </c>
      <c r="J455" s="2" t="str">
        <f>IF(AND(A456=A455,I455=100,I456=100),"full access", " ")</f>
        <v xml:space="preserve"> </v>
      </c>
      <c r="K455" s="2">
        <v>0</v>
      </c>
      <c r="L455" s="2">
        <v>0.85671263900000005</v>
      </c>
      <c r="M455" s="2">
        <v>0</v>
      </c>
      <c r="N455" s="2">
        <v>99.143287360000002</v>
      </c>
      <c r="O455" s="2">
        <f>IFERROR(ROUND(N455,0),"null")</f>
        <v>99</v>
      </c>
      <c r="P455" s="2" t="str">
        <f>IF(AND(A455=A456,O455=100,O456=100),"full access"," ")</f>
        <v xml:space="preserve"> </v>
      </c>
      <c r="Q455" s="2" t="str">
        <f>IFERROR(IF(A456=A455,((N455-N456)/(C455-C456)),""),"null")</f>
        <v/>
      </c>
      <c r="R455" s="2">
        <v>0</v>
      </c>
      <c r="S455" s="2">
        <v>0.85671263900000005</v>
      </c>
      <c r="T455" s="2">
        <v>0</v>
      </c>
      <c r="U455" s="2" t="s">
        <v>45</v>
      </c>
      <c r="V455" s="2" t="str">
        <f>IFERROR(ROUND(U455,0),"null")</f>
        <v>null</v>
      </c>
      <c r="W455" s="2" t="str">
        <f>IF(AND(A455=A456,V455=100,V456=100),"full access","")</f>
        <v/>
      </c>
      <c r="X455" s="2" t="str">
        <f>IFERROR(IF(A456=A455,((U455-U456)/(C455-C456)),""),"null")</f>
        <v/>
      </c>
      <c r="Y455" s="2" t="s">
        <v>45</v>
      </c>
      <c r="Z455" s="2" t="s">
        <v>45</v>
      </c>
      <c r="AA455" s="2" t="s">
        <v>45</v>
      </c>
      <c r="AB455" s="2" t="str">
        <f>IFERROR(IF(A456=A455, Q455-X455, ""), "null")</f>
        <v/>
      </c>
    </row>
    <row r="456" spans="1:28">
      <c r="A456" s="2" t="s">
        <v>280</v>
      </c>
      <c r="B456" s="2" t="str">
        <f>VLOOKUP(A456,Regions!A:B,2,0)</f>
        <v>Europe &amp; Central Asia</v>
      </c>
      <c r="C456" s="2">
        <v>2015</v>
      </c>
      <c r="D456" s="2">
        <f>IF(A457=A456,ABS(C457-C456),"")</f>
        <v>5</v>
      </c>
      <c r="E456" s="2">
        <f>IFERROR(IF(A457=A456,((H456-H457)/(C456-C457)), ""), "null")</f>
        <v>0.30010810200000149</v>
      </c>
      <c r="F456" s="2">
        <v>4529.1601559999999</v>
      </c>
      <c r="G456" s="2">
        <v>75.367996219999995</v>
      </c>
      <c r="H456" s="2">
        <v>96.379856709999999</v>
      </c>
      <c r="I456" s="2">
        <f>IFERROR(ROUND(H456,0),"null")</f>
        <v>96</v>
      </c>
      <c r="J456" s="2" t="str">
        <f>IF(AND(A457=A456,I456=100,I457=100),"full access", " ")</f>
        <v xml:space="preserve"> </v>
      </c>
      <c r="K456" s="2">
        <v>0.58753466440000002</v>
      </c>
      <c r="L456" s="2">
        <v>3.0326086220000001</v>
      </c>
      <c r="M456" s="2" t="s">
        <v>45</v>
      </c>
      <c r="N456" s="2">
        <v>95.381142350000005</v>
      </c>
      <c r="O456" s="2">
        <f>IFERROR(ROUND(N456,0),"null")</f>
        <v>95</v>
      </c>
      <c r="P456" s="2" t="str">
        <f>IF(AND(A456=A457,O456=100,O457=100),"full access"," ")</f>
        <v xml:space="preserve"> </v>
      </c>
      <c r="Q456" s="2">
        <f>IFERROR(IF(A457=A456,((N456-N457)/(C456-C457)),""),"null")</f>
        <v>0.66688281399999882</v>
      </c>
      <c r="R456" s="2">
        <v>0.99273120920000002</v>
      </c>
      <c r="S456" s="2">
        <v>3.6261264409999998</v>
      </c>
      <c r="T456" s="2" t="s">
        <v>45</v>
      </c>
      <c r="U456" s="2">
        <v>96.706259619999997</v>
      </c>
      <c r="V456" s="2">
        <f>IFERROR(ROUND(U456,0),"null")</f>
        <v>97</v>
      </c>
      <c r="W456" s="2" t="str">
        <f>IF(AND(A456=A457,V456=100,V457=100),"full access","")</f>
        <v/>
      </c>
      <c r="X456" s="2">
        <f>IFERROR(IF(A457=A456,((U456-U457)/(C456-C457)),""),"null")</f>
        <v>0.18414096200000074</v>
      </c>
      <c r="Y456" s="2">
        <v>0.45510708030000002</v>
      </c>
      <c r="Z456" s="2">
        <v>2.838633298</v>
      </c>
      <c r="AA456" s="2" t="s">
        <v>45</v>
      </c>
      <c r="AB456" s="2">
        <f>IFERROR(IF(A457=A456, Q456-X456, ""), "null")</f>
        <v>0.48274185199999808</v>
      </c>
    </row>
    <row r="457" spans="1:28">
      <c r="A457" s="2" t="s">
        <v>280</v>
      </c>
      <c r="B457" s="2" t="str">
        <f>VLOOKUP(A457,Regions!A:B,2,0)</f>
        <v>Europe &amp; Central Asia</v>
      </c>
      <c r="C457" s="2">
        <v>2020</v>
      </c>
      <c r="D457" s="2" t="str">
        <f>IF(A458=A457,ABS(C458-C457),"")</f>
        <v/>
      </c>
      <c r="E457" s="2" t="str">
        <f>IFERROR(IF(A458=A457,((H457-H458)/(C457-C458)), ""), "null")</f>
        <v/>
      </c>
      <c r="F457" s="2">
        <v>5101.4160160000001</v>
      </c>
      <c r="G457" s="2">
        <v>76.718994140000007</v>
      </c>
      <c r="H457" s="2">
        <v>97.880397220000006</v>
      </c>
      <c r="I457" s="2">
        <f>IFERROR(ROUND(H457,0),"null")</f>
        <v>98</v>
      </c>
      <c r="J457" s="2" t="str">
        <f>IF(AND(A458=A457,I457=100,I458=100),"full access", " ")</f>
        <v xml:space="preserve"> </v>
      </c>
      <c r="K457" s="2">
        <v>1.029979486</v>
      </c>
      <c r="L457" s="2">
        <v>1.089623295</v>
      </c>
      <c r="M457" s="2" t="s">
        <v>45</v>
      </c>
      <c r="N457" s="2">
        <v>98.715556419999999</v>
      </c>
      <c r="O457" s="2">
        <f>IFERROR(ROUND(N457,0),"null")</f>
        <v>99</v>
      </c>
      <c r="P457" s="2" t="str">
        <f>IF(AND(A457=A458,O457=100,O458=100),"full access"," ")</f>
        <v xml:space="preserve"> </v>
      </c>
      <c r="Q457" s="2" t="str">
        <f>IFERROR(IF(A458=A457,((N457-N458)/(C457-C458)),""),"null")</f>
        <v/>
      </c>
      <c r="R457" s="2">
        <v>0.31740062730000002</v>
      </c>
      <c r="S457" s="2">
        <v>0.96704295760000003</v>
      </c>
      <c r="T457" s="2" t="s">
        <v>45</v>
      </c>
      <c r="U457" s="2">
        <v>97.626964430000001</v>
      </c>
      <c r="V457" s="2">
        <f>IFERROR(ROUND(U457,0),"null")</f>
        <v>98</v>
      </c>
      <c r="W457" s="2" t="str">
        <f>IF(AND(A457=A458,V457=100,V458=100),"full access","")</f>
        <v/>
      </c>
      <c r="X457" s="2" t="str">
        <f>IFERROR(IF(A458=A457,((U457-U458)/(C457-C458)),""),"null")</f>
        <v/>
      </c>
      <c r="Y457" s="2">
        <v>1.246217358</v>
      </c>
      <c r="Z457" s="2">
        <v>1.126818208</v>
      </c>
      <c r="AA457" s="2" t="s">
        <v>45</v>
      </c>
      <c r="AB457" s="2" t="str">
        <f>IFERROR(IF(A458=A457, Q457-X457, ""), "null")</f>
        <v/>
      </c>
    </row>
    <row r="458" spans="1:28">
      <c r="A458" s="2" t="s">
        <v>281</v>
      </c>
      <c r="B458" s="2" t="str">
        <f>VLOOKUP(A458,Regions!A:B,2,0)</f>
        <v>Europe &amp; Central Asia</v>
      </c>
      <c r="C458" s="2">
        <v>2015</v>
      </c>
      <c r="D458" s="2">
        <f>IF(A459=A458,ABS(C459-C458),"")</f>
        <v>5</v>
      </c>
      <c r="E458" s="2">
        <f>IFERROR(IF(A459=A458,((H458-H459)/(C458-C459)), ""), "null")</f>
        <v>0.97694024200000062</v>
      </c>
      <c r="F458" s="2">
        <v>26497.880860000001</v>
      </c>
      <c r="G458" s="2">
        <v>34.777000430000001</v>
      </c>
      <c r="H458" s="2">
        <v>55.778868629999998</v>
      </c>
      <c r="I458" s="2">
        <f>IFERROR(ROUND(H458,0),"null")</f>
        <v>56</v>
      </c>
      <c r="J458" s="2" t="str">
        <f>IF(AND(A459=A458,I458=100,I459=100),"full access", " ")</f>
        <v xml:space="preserve"> </v>
      </c>
      <c r="K458" s="2">
        <v>26.035606600000001</v>
      </c>
      <c r="L458" s="2">
        <v>14.70974567</v>
      </c>
      <c r="M458" s="2">
        <v>3.4757790979999998</v>
      </c>
      <c r="N458" s="2">
        <v>44.958268160000003</v>
      </c>
      <c r="O458" s="2">
        <f>IFERROR(ROUND(N458,0),"null")</f>
        <v>45</v>
      </c>
      <c r="P458" s="2" t="str">
        <f>IF(AND(A458=A459,O458=100,O459=100),"full access"," ")</f>
        <v xml:space="preserve"> </v>
      </c>
      <c r="Q458" s="2">
        <f>IFERROR(IF(A459=A458,((N458-N459)/(C458-C459)),""),"null")</f>
        <v>1.1446132419999997</v>
      </c>
      <c r="R458" s="2">
        <v>28.794611020000001</v>
      </c>
      <c r="S458" s="2">
        <v>21.10381293</v>
      </c>
      <c r="T458" s="2">
        <v>5.1433078959999996</v>
      </c>
      <c r="U458" s="2">
        <v>76.072511899999995</v>
      </c>
      <c r="V458" s="2">
        <f>IFERROR(ROUND(U458,0),"null")</f>
        <v>76</v>
      </c>
      <c r="W458" s="2" t="str">
        <f>IF(AND(A458=A459,V458=100,V459=100),"full access","")</f>
        <v/>
      </c>
      <c r="X458" s="2">
        <f>IFERROR(IF(A459=A458,((U458-U459)/(C458-C459)),""),"null")</f>
        <v>0.18832348800000034</v>
      </c>
      <c r="Y458" s="2">
        <v>20.861194009999998</v>
      </c>
      <c r="Z458" s="2">
        <v>2.7179047039999999</v>
      </c>
      <c r="AA458" s="2">
        <v>0.3483893924</v>
      </c>
      <c r="AB458" s="2">
        <f>IFERROR(IF(A459=A458, Q458-X458, ""), "null")</f>
        <v>0.95628975399999938</v>
      </c>
    </row>
    <row r="459" spans="1:28">
      <c r="A459" s="2" t="s">
        <v>281</v>
      </c>
      <c r="B459" s="2" t="str">
        <f>VLOOKUP(A459,Regions!A:B,2,0)</f>
        <v>Europe &amp; Central Asia</v>
      </c>
      <c r="C459" s="2">
        <v>2020</v>
      </c>
      <c r="D459" s="2" t="str">
        <f>IF(A460=A459,ABS(C460-C459),"")</f>
        <v/>
      </c>
      <c r="E459" s="2" t="str">
        <f>IFERROR(IF(A460=A459,((H459-H460)/(C459-C460)), ""), "null")</f>
        <v/>
      </c>
      <c r="F459" s="2">
        <v>29825.96875</v>
      </c>
      <c r="G459" s="2">
        <v>37.907997129999998</v>
      </c>
      <c r="H459" s="2">
        <v>60.663569840000001</v>
      </c>
      <c r="I459" s="2">
        <f>IFERROR(ROUND(H459,0),"null")</f>
        <v>61</v>
      </c>
      <c r="J459" s="2" t="str">
        <f>IF(AND(A460=A459,I459=100,I460=100),"full access", " ")</f>
        <v xml:space="preserve"> </v>
      </c>
      <c r="K459" s="2">
        <v>28.9627418</v>
      </c>
      <c r="L459" s="2">
        <v>7.77785276</v>
      </c>
      <c r="M459" s="2">
        <v>2.595835594</v>
      </c>
      <c r="N459" s="2">
        <v>50.681334370000002</v>
      </c>
      <c r="O459" s="2">
        <f>IFERROR(ROUND(N459,0),"null")</f>
        <v>51</v>
      </c>
      <c r="P459" s="2" t="str">
        <f>IF(AND(A459=A460,O459=100,O460=100),"full access"," ")</f>
        <v xml:space="preserve"> </v>
      </c>
      <c r="Q459" s="2" t="str">
        <f>IFERROR(IF(A460=A459,((N459-N460)/(C459-C460)),""),"null")</f>
        <v/>
      </c>
      <c r="R459" s="2">
        <v>33.53021373</v>
      </c>
      <c r="S459" s="2">
        <v>11.60782393</v>
      </c>
      <c r="T459" s="2">
        <v>4.1806279780000004</v>
      </c>
      <c r="U459" s="2">
        <v>77.014129339999997</v>
      </c>
      <c r="V459" s="2">
        <f>IFERROR(ROUND(U459,0),"null")</f>
        <v>77</v>
      </c>
      <c r="W459" s="2" t="str">
        <f>IF(AND(A459=A460,V459=100,V460=100),"full access","")</f>
        <v/>
      </c>
      <c r="X459" s="2" t="str">
        <f>IFERROR(IF(A460=A459,((U459-U460)/(C459-C460)),""),"null")</f>
        <v/>
      </c>
      <c r="Y459" s="2">
        <v>21.481379369999999</v>
      </c>
      <c r="Z459" s="2">
        <v>1.5044912859999999</v>
      </c>
      <c r="AA459" s="2">
        <v>0</v>
      </c>
      <c r="AB459" s="2" t="str">
        <f>IFERROR(IF(A460=A459, Q459-X459, ""), "null")</f>
        <v/>
      </c>
    </row>
    <row r="460" spans="1:28">
      <c r="A460" s="2" t="s">
        <v>282</v>
      </c>
      <c r="B460" s="2" t="str">
        <f>VLOOKUP(A460,Regions!A:B,2,0)</f>
        <v>Sub-Saharan Africa</v>
      </c>
      <c r="C460" s="2">
        <v>2015</v>
      </c>
      <c r="D460" s="2">
        <f>IF(A461=A460,ABS(C461-C460),"")</f>
        <v>5</v>
      </c>
      <c r="E460" s="2">
        <f>IFERROR(IF(A461=A460,((H460-H461)/(C460-C461)), ""), "null")</f>
        <v>0.81472745800000013</v>
      </c>
      <c r="F460" s="2">
        <v>15879.37012</v>
      </c>
      <c r="G460" s="2">
        <v>41.9070015</v>
      </c>
      <c r="H460" s="2">
        <v>61.338746280000002</v>
      </c>
      <c r="I460" s="2">
        <f>IFERROR(ROUND(H460,0),"null")</f>
        <v>61</v>
      </c>
      <c r="J460" s="2" t="str">
        <f>IF(AND(A461=A460,I460=100,I461=100),"full access", " ")</f>
        <v xml:space="preserve"> </v>
      </c>
      <c r="K460" s="2">
        <v>5.6539172300000002</v>
      </c>
      <c r="L460" s="2">
        <v>23.3359001</v>
      </c>
      <c r="M460" s="2">
        <v>9.6714363920000004</v>
      </c>
      <c r="N460" s="2">
        <v>43.616834320000002</v>
      </c>
      <c r="O460" s="2">
        <f>IFERROR(ROUND(N460,0),"null")</f>
        <v>44</v>
      </c>
      <c r="P460" s="2" t="str">
        <f>IF(AND(A460=A461,O460=100,O461=100),"full access"," ")</f>
        <v xml:space="preserve"> </v>
      </c>
      <c r="Q460" s="2">
        <f>IFERROR(IF(A461=A460,((N460-N461)/(C460-C461)),""),"null")</f>
        <v>0.9220908019999996</v>
      </c>
      <c r="R460" s="2">
        <v>7.2108648679999998</v>
      </c>
      <c r="S460" s="2">
        <v>33.257219489999997</v>
      </c>
      <c r="T460" s="2">
        <v>15.915081320000001</v>
      </c>
      <c r="U460" s="2">
        <v>85.90549729</v>
      </c>
      <c r="V460" s="2">
        <f>IFERROR(ROUND(U460,0),"null")</f>
        <v>86</v>
      </c>
      <c r="W460" s="2" t="str">
        <f>IF(AND(A460=A461,V460=100,V461=100),"full access","")</f>
        <v/>
      </c>
      <c r="X460" s="2">
        <f>IFERROR(IF(A461=A460,((U460-U461)/(C460-C461)),""),"null")</f>
        <v>0.16567147400000123</v>
      </c>
      <c r="Y460" s="2">
        <v>3.495619671</v>
      </c>
      <c r="Z460" s="2">
        <v>9.5826138469999993</v>
      </c>
      <c r="AA460" s="2">
        <v>1.0162691930000001</v>
      </c>
      <c r="AB460" s="2">
        <f>IFERROR(IF(A461=A460, Q460-X460, ""), "null")</f>
        <v>0.75641932799999834</v>
      </c>
    </row>
    <row r="461" spans="1:28">
      <c r="A461" s="2" t="s">
        <v>282</v>
      </c>
      <c r="B461" s="2" t="str">
        <f>VLOOKUP(A461,Regions!A:B,2,0)</f>
        <v>Sub-Saharan Africa</v>
      </c>
      <c r="C461" s="2">
        <v>2020</v>
      </c>
      <c r="D461" s="2" t="str">
        <f>IF(A462=A461,ABS(C462-C461),"")</f>
        <v/>
      </c>
      <c r="E461" s="2" t="str">
        <f>IFERROR(IF(A462=A461,((H461-H462)/(C461-C462)), ""), "null")</f>
        <v/>
      </c>
      <c r="F461" s="2">
        <v>18383.95508</v>
      </c>
      <c r="G461" s="2">
        <v>44.6289978</v>
      </c>
      <c r="H461" s="2">
        <v>65.412383570000003</v>
      </c>
      <c r="I461" s="2">
        <f>IFERROR(ROUND(H461,0),"null")</f>
        <v>65</v>
      </c>
      <c r="J461" s="2" t="str">
        <f>IF(AND(A462=A461,I461=100,I462=100),"full access", " ")</f>
        <v xml:space="preserve"> </v>
      </c>
      <c r="K461" s="2">
        <v>6.1539390200000001</v>
      </c>
      <c r="L461" s="2">
        <v>21.576840709999999</v>
      </c>
      <c r="M461" s="2">
        <v>6.8568367060000002</v>
      </c>
      <c r="N461" s="2">
        <v>48.22728833</v>
      </c>
      <c r="O461" s="2">
        <f>IFERROR(ROUND(N461,0),"null")</f>
        <v>48</v>
      </c>
      <c r="P461" s="2" t="str">
        <f>IF(AND(A461=A462,O461=100,O462=100),"full access"," ")</f>
        <v xml:space="preserve"> </v>
      </c>
      <c r="Q461" s="2" t="str">
        <f>IFERROR(IF(A462=A461,((N461-N462)/(C461-C462)),""),"null")</f>
        <v/>
      </c>
      <c r="R461" s="2">
        <v>8.3317036130000002</v>
      </c>
      <c r="S461" s="2">
        <v>31.608654439999999</v>
      </c>
      <c r="T461" s="2">
        <v>11.832353619999999</v>
      </c>
      <c r="U461" s="2">
        <v>86.733854660000006</v>
      </c>
      <c r="V461" s="2">
        <f>IFERROR(ROUND(U461,0),"null")</f>
        <v>87</v>
      </c>
      <c r="W461" s="2" t="str">
        <f>IF(AND(A461=A462,V461=100,V462=100),"full access","")</f>
        <v/>
      </c>
      <c r="X461" s="2" t="str">
        <f>IFERROR(IF(A462=A461,((U461-U462)/(C461-C462)),""),"null")</f>
        <v/>
      </c>
      <c r="Y461" s="2">
        <v>3.4519961939999999</v>
      </c>
      <c r="Z461" s="2">
        <v>9.1304141049999998</v>
      </c>
      <c r="AA461" s="2">
        <v>0.68373504630000004</v>
      </c>
      <c r="AB461" s="2" t="str">
        <f>IFERROR(IF(A462=A461, Q461-X461, ""), "null")</f>
        <v/>
      </c>
    </row>
    <row r="462" spans="1:28">
      <c r="A462" s="2" t="s">
        <v>283</v>
      </c>
      <c r="B462" s="2" t="str">
        <f>VLOOKUP(A462,Regions!A:B,2,0)</f>
        <v>Sub-Saharan Africa</v>
      </c>
      <c r="C462" s="2">
        <v>2015</v>
      </c>
      <c r="D462" s="2">
        <f>IF(A463=A462,ABS(C463-C462),"")</f>
        <v>5</v>
      </c>
      <c r="E462" s="2">
        <f>IFERROR(IF(A463=A462,((H462-H463)/(C462-C463)), ""), "null")</f>
        <v>-0.39098582199999898</v>
      </c>
      <c r="F462" s="2">
        <v>13814.641600000001</v>
      </c>
      <c r="G462" s="2">
        <v>32.384998320000001</v>
      </c>
      <c r="H462" s="2">
        <v>64.954929109999995</v>
      </c>
      <c r="I462" s="2">
        <f>IFERROR(ROUND(H462,0),"null")</f>
        <v>65</v>
      </c>
      <c r="J462" s="2" t="str">
        <f>IF(AND(A463=A462,I462=100,I463=100),"full access", " ")</f>
        <v xml:space="preserve"> </v>
      </c>
      <c r="K462" s="2">
        <v>12.456764769999999</v>
      </c>
      <c r="L462" s="2">
        <v>15.89884206</v>
      </c>
      <c r="M462" s="2">
        <v>6.6894640550000002</v>
      </c>
      <c r="N462" s="2">
        <v>51.25006071</v>
      </c>
      <c r="O462" s="2">
        <f>IFERROR(ROUND(N462,0),"null")</f>
        <v>51</v>
      </c>
      <c r="P462" s="2" t="str">
        <f>IF(AND(A462=A463,O462=100,O463=100),"full access"," ")</f>
        <v xml:space="preserve"> </v>
      </c>
      <c r="Q462" s="2">
        <f>IFERROR(IF(A463=A462,((N462-N463)/(C462-C463)),""),"null")</f>
        <v>-0.6500121419999999</v>
      </c>
      <c r="R462" s="2">
        <v>16.396726579999999</v>
      </c>
      <c r="S462" s="2">
        <v>22.514468619999999</v>
      </c>
      <c r="T462" s="2">
        <v>9.8387440880000003</v>
      </c>
      <c r="U462" s="2">
        <v>93.568635740000005</v>
      </c>
      <c r="V462" s="2">
        <f>IFERROR(ROUND(U462,0),"null")</f>
        <v>94</v>
      </c>
      <c r="W462" s="2" t="str">
        <f>IF(AND(A462=A463,V462=100,V463=100),"full access","")</f>
        <v/>
      </c>
      <c r="X462" s="2">
        <f>IFERROR(IF(A463=A462,((U462-U463)/(C462-C463)),""),"null")</f>
        <v>-0.11372714800000097</v>
      </c>
      <c r="Y462" s="2">
        <v>4.2307197299999997</v>
      </c>
      <c r="Z462" s="2">
        <v>2.086401773</v>
      </c>
      <c r="AA462" s="2">
        <v>0.11424275640000001</v>
      </c>
      <c r="AB462" s="2">
        <f>IFERROR(IF(A463=A462, Q462-X462, ""), "null")</f>
        <v>-0.53628499399999896</v>
      </c>
    </row>
    <row r="463" spans="1:28">
      <c r="A463" s="2" t="s">
        <v>283</v>
      </c>
      <c r="B463" s="2" t="str">
        <f>VLOOKUP(A463,Regions!A:B,2,0)</f>
        <v>Sub-Saharan Africa</v>
      </c>
      <c r="C463" s="2">
        <v>2020</v>
      </c>
      <c r="D463" s="2" t="str">
        <f>IF(A464=A463,ABS(C464-C463),"")</f>
        <v/>
      </c>
      <c r="E463" s="2" t="str">
        <f>IFERROR(IF(A464=A463,((H463-H464)/(C463-C464)), ""), "null")</f>
        <v/>
      </c>
      <c r="F463" s="2">
        <v>14863</v>
      </c>
      <c r="G463" s="2">
        <v>32</v>
      </c>
      <c r="H463" s="2">
        <v>63</v>
      </c>
      <c r="I463" s="2">
        <f>IFERROR(ROUND(H463,0),"null")</f>
        <v>63</v>
      </c>
      <c r="J463" s="2" t="str">
        <f>IF(AND(A464=A463,I463=100,I464=100),"full access", " ")</f>
        <v xml:space="preserve"> </v>
      </c>
      <c r="K463" s="2">
        <v>14</v>
      </c>
      <c r="L463" s="2">
        <v>16</v>
      </c>
      <c r="M463" s="2">
        <v>7</v>
      </c>
      <c r="N463" s="2">
        <v>48</v>
      </c>
      <c r="O463" s="2">
        <f>IFERROR(ROUND(N463,0),"null")</f>
        <v>48</v>
      </c>
      <c r="P463" s="2" t="str">
        <f>IF(AND(A463=A464,O463=100,O464=100),"full access"," ")</f>
        <v xml:space="preserve"> </v>
      </c>
      <c r="Q463" s="2" t="str">
        <f>IFERROR(IF(A464=A463,((N463-N464)/(C463-C464)),""),"null")</f>
        <v/>
      </c>
      <c r="R463" s="2">
        <v>19</v>
      </c>
      <c r="S463" s="2">
        <v>23</v>
      </c>
      <c r="T463" s="2">
        <v>10</v>
      </c>
      <c r="U463" s="2">
        <v>93</v>
      </c>
      <c r="V463" s="2">
        <f>IFERROR(ROUND(U463,0),"null")</f>
        <v>93</v>
      </c>
      <c r="W463" s="2" t="str">
        <f>IF(AND(A463=A464,V463=100,V464=100),"full access","")</f>
        <v/>
      </c>
      <c r="X463" s="2" t="str">
        <f>IFERROR(IF(A464=A463,((U463-U464)/(C463-C464)),""),"null")</f>
        <v/>
      </c>
      <c r="Y463" s="2">
        <v>5</v>
      </c>
      <c r="Z463" s="2">
        <v>2</v>
      </c>
      <c r="AA463" s="2" t="s">
        <v>284</v>
      </c>
      <c r="AB463" s="2" t="str">
        <f>IFERROR(IF(A464=A463, Q463-X463, ""), "null")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2"/>
  <sheetViews>
    <sheetView tabSelected="1" topLeftCell="R1" zoomScaleNormal="91" workbookViewId="0">
      <selection activeCell="Z8" sqref="Z8"/>
    </sheetView>
  </sheetViews>
  <sheetFormatPr defaultColWidth="12.5703125" defaultRowHeight="15.75" customHeight="1"/>
  <cols>
    <col min="1" max="1" width="18.7109375" customWidth="1"/>
    <col min="2" max="2" width="16.85546875" customWidth="1"/>
    <col min="3" max="3" width="22" customWidth="1"/>
    <col min="4" max="4" width="19" customWidth="1"/>
    <col min="6" max="6" width="19.28515625" customWidth="1"/>
    <col min="14" max="14" width="16.7109375" customWidth="1"/>
    <col min="15" max="15" width="20.5703125" style="38" customWidth="1"/>
    <col min="21" max="21" width="25.140625" customWidth="1"/>
    <col min="22" max="22" width="16.85546875" customWidth="1"/>
  </cols>
  <sheetData>
    <row r="1" spans="1:25" ht="12.75">
      <c r="A1" s="1" t="s">
        <v>329</v>
      </c>
      <c r="B1" t="s">
        <v>330</v>
      </c>
      <c r="I1" t="s">
        <v>333</v>
      </c>
      <c r="J1" s="17" t="s">
        <v>334</v>
      </c>
      <c r="K1" s="3"/>
      <c r="L1" s="4"/>
      <c r="M1" s="4"/>
      <c r="N1" s="5"/>
      <c r="O1" s="25"/>
      <c r="P1" s="5"/>
      <c r="Q1" s="5"/>
      <c r="R1" s="5"/>
      <c r="S1" s="5"/>
      <c r="T1" s="41" t="s">
        <v>336</v>
      </c>
      <c r="U1" t="s">
        <v>328</v>
      </c>
    </row>
    <row r="2" spans="1:25" ht="13.5" thickBot="1">
      <c r="A2" s="1"/>
      <c r="I2" s="20"/>
      <c r="J2" s="18"/>
      <c r="K2" s="18"/>
      <c r="L2" s="18"/>
      <c r="M2" s="18"/>
      <c r="N2" s="19"/>
      <c r="O2" s="23"/>
      <c r="P2" s="19"/>
      <c r="Q2" s="19"/>
      <c r="R2" s="19"/>
      <c r="S2" s="19"/>
    </row>
    <row r="3" spans="1:25" ht="15" customHeight="1" thickBot="1">
      <c r="B3" s="9" t="s">
        <v>305</v>
      </c>
      <c r="C3" s="9" t="s">
        <v>306</v>
      </c>
      <c r="I3" s="20"/>
      <c r="J3" s="34" t="s">
        <v>288</v>
      </c>
      <c r="K3" s="30" t="s">
        <v>289</v>
      </c>
      <c r="L3" s="30" t="s">
        <v>290</v>
      </c>
      <c r="M3" s="30" t="s">
        <v>291</v>
      </c>
      <c r="N3" s="31" t="s">
        <v>292</v>
      </c>
      <c r="O3" s="32" t="s">
        <v>293</v>
      </c>
      <c r="P3" s="31" t="s">
        <v>294</v>
      </c>
      <c r="Q3" s="31" t="s">
        <v>295</v>
      </c>
      <c r="R3" s="33" t="s">
        <v>296</v>
      </c>
      <c r="S3" s="19"/>
      <c r="U3" s="56" t="s">
        <v>300</v>
      </c>
      <c r="V3" s="56" t="s">
        <v>301</v>
      </c>
      <c r="W3" s="57" t="s">
        <v>302</v>
      </c>
      <c r="X3" s="57" t="s">
        <v>303</v>
      </c>
      <c r="Y3" s="58" t="s">
        <v>304</v>
      </c>
    </row>
    <row r="4" spans="1:25" ht="14.25">
      <c r="B4" s="10">
        <v>2015</v>
      </c>
      <c r="C4" s="11">
        <f>COUNTIF('Estimates of the use of water ('!$C$2:$C$463,$B4)</f>
        <v>231</v>
      </c>
      <c r="I4" s="20"/>
      <c r="J4" s="35" t="s">
        <v>297</v>
      </c>
      <c r="K4" s="21">
        <f>MIN('Estimates of the use of water ('!E:E)</f>
        <v>-1.0217886739999997</v>
      </c>
      <c r="L4" s="21">
        <f>AVERAGE('Estimates of the use of water ('!E:E)</f>
        <v>0.27703544531441071</v>
      </c>
      <c r="M4" s="21">
        <f>MAX('Estimates of the use of water ('!E:E)</f>
        <v>2.7503264880000002</v>
      </c>
      <c r="N4" s="22">
        <f>COUNTIF('Estimates of the use of water ('!J:J,"full access")</f>
        <v>62</v>
      </c>
      <c r="O4" s="24">
        <f>COUNTIFS('Estimates of the use of water ('!E:E,0,'Estimates of the use of water ('!J:J,"&lt;&gt;full access")</f>
        <v>16</v>
      </c>
      <c r="P4" s="22">
        <f>COUNTIFS('Estimates of the use of water ('!E:E,"&lt;0",'Estimates of the use of water ('!J:J,"&lt;&gt;full access")</f>
        <v>16</v>
      </c>
      <c r="Q4" s="22">
        <f>COUNTIFS('Estimates of the use of water ('!E:E,"&gt;0",'Estimates of the use of water ('!J:J,"&lt;&gt;full access")</f>
        <v>135</v>
      </c>
      <c r="R4" s="26">
        <f>COUNTIF('Estimates of the use of water ('!E:E,"null")</f>
        <v>2</v>
      </c>
      <c r="S4" s="22"/>
      <c r="U4" s="51" t="s">
        <v>148</v>
      </c>
      <c r="V4" s="51">
        <f>COUNTIFS('Estimates of the use of water ('!B:B,"Sub-Saharan Africa",'Estimates of the use of water ('!D:D,"&lt;&gt;")/2</f>
        <v>53</v>
      </c>
      <c r="W4" s="45">
        <f>AVERAGEIF('Estimates of the use of water ('!B:B,"Sub-Saharan Africa",'Estimates of the use of water ('!E:E)</f>
        <v>0.55953947127358494</v>
      </c>
      <c r="X4" s="45">
        <f>AVERAGEIF('Estimates of the use of water ('!B:B,"Sub-Saharan Africa",'Estimates of the use of water ('!X:X)</f>
        <v>0.27079471600000005</v>
      </c>
      <c r="Y4" s="52">
        <f>AVERAGEIF('Estimates of the use of water ('!B:B,"Sub-Saharan Africa",'Estimates of the use of water ('!Q:Q)</f>
        <v>0.60306315138775524</v>
      </c>
    </row>
    <row r="5" spans="1:25" ht="14.25">
      <c r="B5" s="10">
        <v>2016</v>
      </c>
      <c r="C5" s="11">
        <f>COUNTIF('Estimates of the use of water ('!$C$2:$C$463,$B5)</f>
        <v>3</v>
      </c>
      <c r="I5" s="20"/>
      <c r="J5" s="35" t="s">
        <v>298</v>
      </c>
      <c r="K5" s="21">
        <f>MIN('Estimates of the use of water ('!X:X)</f>
        <v>-1.6200868119999996</v>
      </c>
      <c r="L5" s="21">
        <f>AVERAGE('Estimates of the use of water ('!X:X)</f>
        <v>0.15493928245303876</v>
      </c>
      <c r="M5" s="21">
        <f>MAX('Estimates of the use of water ('!X:X)</f>
        <v>2.6682118559999992</v>
      </c>
      <c r="N5" s="22">
        <f>COUNTIF('Estimates of the use of water ('!W:W,"full access")</f>
        <v>55</v>
      </c>
      <c r="O5" s="24">
        <f>COUNTIFS('Estimates of the use of water ('!X:X,0,'Estimates of the use of water ('!W:W,"&lt;&gt;full access")</f>
        <v>7</v>
      </c>
      <c r="P5" s="22">
        <f>COUNTIFS('Estimates of the use of water ('!X:X,"&lt;0",'Estimates of the use of water ('!W:W,"&lt;&gt;full access")</f>
        <v>26</v>
      </c>
      <c r="Q5" s="22">
        <f>COUNTIFS('Estimates of the use of water ('!X:X,"&gt;0",'Estimates of the use of water ('!W:W,"&lt;&gt;full access")</f>
        <v>93</v>
      </c>
      <c r="R5" s="26">
        <f>COUNTIF('Estimates of the use of water ('!X:X,"null")</f>
        <v>50</v>
      </c>
      <c r="S5" s="22"/>
      <c r="U5" s="51" t="s">
        <v>143</v>
      </c>
      <c r="V5" s="51">
        <f>COUNTIFS('Estimates of the use of water ('!B:B,"South Asia",'Estimates of the use of water ('!D:D,"&lt;&gt;")/2</f>
        <v>11</v>
      </c>
      <c r="W5" s="45">
        <f>AVERAGEIF('Estimates of the use of water ('!B:B,"South Asia",'Estimates of the use of water ('!E:E)</f>
        <v>0.48023040018181767</v>
      </c>
      <c r="X5" s="45">
        <f>AVERAGEIF('Estimates of the use of water ('!B:B,"South Asia",'Estimates of the use of water ('!X:X)</f>
        <v>0.26548867309090962</v>
      </c>
      <c r="Y5" s="52">
        <f>AVERAGEIF('Estimates of the use of water ('!B:B,"South Asia",'Estimates of the use of water ('!Q:Q)</f>
        <v>0.55914462672727272</v>
      </c>
    </row>
    <row r="6" spans="1:25" ht="15" thickBot="1">
      <c r="B6" s="12">
        <v>2017</v>
      </c>
      <c r="C6" s="11">
        <f>COUNTIF('Estimates of the use of water ('!$C$2:$C$463,$B6)</f>
        <v>9</v>
      </c>
      <c r="I6" s="20"/>
      <c r="J6" s="36" t="s">
        <v>299</v>
      </c>
      <c r="K6" s="27">
        <f>MIN('Estimates of the use of water ('!Q:Q)</f>
        <v>-1.2273809599999992</v>
      </c>
      <c r="L6" s="27">
        <f>AVERAGE('Estimates of the use of water ('!Q:Q)</f>
        <v>0.48415545780838315</v>
      </c>
      <c r="M6" s="27">
        <f>MAX('Estimates of the use of water ('!Q:Q)</f>
        <v>2.6678826380000005</v>
      </c>
      <c r="N6" s="27">
        <f>COUNTIF('Estimates of the use of water ('!P:P,"full access")</f>
        <v>29</v>
      </c>
      <c r="O6" s="28">
        <f>COUNTIFS('Estimates of the use of water ('!Q:Q,0,'Estimates of the use of water ('!P:P,"&lt;&gt;full access")</f>
        <v>5</v>
      </c>
      <c r="P6" s="27">
        <f>COUNTIFS('Estimates of the use of water ('!Q:Q,"&lt;0",'Estimates of the use of water ('!P:P,"&lt;&gt;full access")</f>
        <v>17</v>
      </c>
      <c r="Q6" s="27">
        <f>COUNTIFS('Estimates of the use of water ('!Q:Q,"&gt;0",'Estimates of the use of water ('!P:P,"&lt;&gt;full access")</f>
        <v>116</v>
      </c>
      <c r="R6" s="29">
        <f>COUNTIF('Estimates of the use of water ('!Q:Q,"null")</f>
        <v>64</v>
      </c>
      <c r="S6" s="22"/>
      <c r="U6" s="51" t="s">
        <v>147</v>
      </c>
      <c r="V6" s="51">
        <f>COUNTIFS('Estimates of the use of water ('!B:B,"East Asia &amp; Pacific",'Estimates of the use of water ('!D:D,"&lt;&gt;")/2</f>
        <v>40</v>
      </c>
      <c r="W6" s="45">
        <f>AVERAGEIF('Estimates of the use of water ('!B:B,"East Asia &amp; Pacific",'Estimates of the use of water ('!E:E)</f>
        <v>0.27843490218750017</v>
      </c>
      <c r="X6" s="45">
        <f>AVERAGEIF('Estimates of the use of water ('!B:B,"East Asia &amp; Pacific",'Estimates of the use of water ('!X:X)</f>
        <v>0.23295792118518513</v>
      </c>
      <c r="Y6" s="52">
        <f>AVERAGEIF('Estimates of the use of water ('!B:B,"East Asia &amp; Pacific",'Estimates of the use of water ('!Q:Q)</f>
        <v>0.50779480174999969</v>
      </c>
    </row>
    <row r="7" spans="1:25" ht="14.25">
      <c r="B7" s="12">
        <v>2018</v>
      </c>
      <c r="C7" s="11">
        <f>COUNTIF('Estimates of the use of water ('!$C$2:$C$463,$B7)</f>
        <v>2</v>
      </c>
      <c r="I7" s="20"/>
      <c r="J7" s="20"/>
      <c r="K7" s="20"/>
      <c r="L7" s="20"/>
      <c r="M7" s="20"/>
      <c r="N7" s="20"/>
      <c r="O7" s="24"/>
      <c r="P7" s="20"/>
      <c r="Q7" s="20"/>
      <c r="R7" s="20"/>
      <c r="S7" s="20"/>
      <c r="U7" s="51" t="s">
        <v>144</v>
      </c>
      <c r="V7" s="51">
        <f>COUNTIFS('Estimates of the use of water ('!B:B,"Europe &amp; Central Asia",'Estimates of the use of water ('!D:D,"&lt;&gt;")/2</f>
        <v>64</v>
      </c>
      <c r="W7" s="45">
        <f>AVERAGEIF('Estimates of the use of water ('!B:B,"Europe &amp; Central Asia",'Estimates of the use of water ('!E:E)</f>
        <v>0.11168578069841299</v>
      </c>
      <c r="X7" s="45">
        <f>AVERAGEIF('Estimates of the use of water ('!B:B,"Europe &amp; Central Asia",'Estimates of the use of water ('!X:X)</f>
        <v>4.6995216415094437E-2</v>
      </c>
      <c r="Y7" s="52">
        <f>AVERAGEIF('Estimates of the use of water ('!B:B,"Europe &amp; Central Asia",'Estimates of the use of water ('!Q:Q)</f>
        <v>0.2244097083265307</v>
      </c>
    </row>
    <row r="8" spans="1:25" ht="14.25">
      <c r="B8" s="12">
        <v>2019</v>
      </c>
      <c r="C8" s="11">
        <f>COUNTIF('Estimates of the use of water ('!$C$2:$C$463,$B8)</f>
        <v>4</v>
      </c>
      <c r="O8" s="37"/>
      <c r="U8" s="51" t="s">
        <v>150</v>
      </c>
      <c r="V8" s="51">
        <f>COUNTIFS('Estimates of the use of water ('!B:B,"Latin America &amp; Caribbean",'Estimates of the use of water ('!D:D,"&lt;&gt;")/2</f>
        <v>48</v>
      </c>
      <c r="W8" s="45">
        <f>AVERAGEIF('Estimates of the use of water ('!B:B,"Latin America &amp; Caribbean",'Estimates of the use of water ('!E:E)</f>
        <v>0.14442485348936188</v>
      </c>
      <c r="X8" s="45">
        <f>AVERAGEIF('Estimates of the use of water ('!B:B,"Latin America &amp; Caribbean",'Estimates of the use of water ('!X:X)</f>
        <v>7.1521594482758646E-2</v>
      </c>
      <c r="Y8" s="52">
        <f>AVERAGEIF('Estimates of the use of water ('!B:B,"Latin America &amp; Caribbean",'Estimates of the use of water ('!Q:Q)</f>
        <v>0.68031449695652146</v>
      </c>
    </row>
    <row r="9" spans="1:25" ht="14.25">
      <c r="B9" s="12">
        <v>2020</v>
      </c>
      <c r="C9" s="11">
        <f>COUNTIF('Estimates of the use of water ('!$C$2:$C$463,$B9)</f>
        <v>213</v>
      </c>
      <c r="O9" s="37"/>
      <c r="U9" s="51" t="s">
        <v>145</v>
      </c>
      <c r="V9" s="51">
        <f>COUNTIFS('Estimates of the use of water ('!B:B,"Middle East &amp; North Africa",'Estimates of the use of water ('!D:D,"&lt;&gt;")/2</f>
        <v>10</v>
      </c>
      <c r="W9" s="45">
        <f>AVERAGEIF('Estimates of the use of water ('!B:B,"Middle East &amp; North Africa",'Estimates of the use of water ('!E:E)</f>
        <v>0.34556302339999972</v>
      </c>
      <c r="X9" s="45">
        <f>AVERAGEIF('Estimates of the use of water ('!B:B,"Middle East &amp; North Africa",'Estimates of the use of water ('!X:X)</f>
        <v>0.12397804499999905</v>
      </c>
      <c r="Y9" s="52">
        <f>AVERAGEIF('Estimates of the use of water ('!B:B,"Middle East &amp; North Africa",'Estimates of the use of water ('!Q:Q)</f>
        <v>0.7369872289999998</v>
      </c>
    </row>
    <row r="10" spans="1:25" thickBot="1">
      <c r="B10" s="9" t="s">
        <v>307</v>
      </c>
      <c r="C10" s="9">
        <f>SUM(C4:C9)</f>
        <v>462</v>
      </c>
      <c r="I10" t="s">
        <v>335</v>
      </c>
      <c r="J10" t="s">
        <v>327</v>
      </c>
      <c r="O10" s="37"/>
      <c r="U10" s="53" t="s">
        <v>155</v>
      </c>
      <c r="V10" s="53">
        <f>COUNTIFS('Estimates of the use of water ('!B:B,"North America",'Estimates of the use of water ('!D:D,"&lt;&gt;")/2</f>
        <v>5</v>
      </c>
      <c r="W10" s="54">
        <f>AVERAGEIF('Estimates of the use of water ('!B:B,"North America",'Estimates of the use of water ('!E:E)</f>
        <v>1.7158395600000063E-2</v>
      </c>
      <c r="X10" s="54">
        <f>AVERAGEIF('Estimates of the use of water ('!B:B,"North America",'Estimates of the use of water ('!X:X)</f>
        <v>2.0331735000006291E-3</v>
      </c>
      <c r="Y10" s="55">
        <f>AVERAGEIF('Estimates of the use of water ('!B:B,"North America",'Estimates of the use of water ('!Q:Q)</f>
        <v>0.1423313100000011</v>
      </c>
    </row>
    <row r="11" spans="1:25" ht="12.75">
      <c r="O11" s="37"/>
    </row>
    <row r="12" spans="1:25" ht="12.75">
      <c r="O12" s="37"/>
    </row>
    <row r="13" spans="1:25" ht="12.75">
      <c r="K13" s="15" t="s">
        <v>308</v>
      </c>
      <c r="L13" s="15" t="s">
        <v>309</v>
      </c>
      <c r="M13" s="15" t="s">
        <v>310</v>
      </c>
      <c r="N13" s="15" t="s">
        <v>311</v>
      </c>
      <c r="O13" s="37"/>
      <c r="T13" s="41" t="s">
        <v>337</v>
      </c>
      <c r="U13" t="s">
        <v>338</v>
      </c>
    </row>
    <row r="14" spans="1:25" ht="12.75">
      <c r="K14" s="13" t="s">
        <v>312</v>
      </c>
      <c r="L14" s="16">
        <v>-3</v>
      </c>
      <c r="M14" s="16">
        <v>-2.5</v>
      </c>
      <c r="N14" s="13">
        <f>COUNTIFS('Estimates of the use of water ('!$AB:$AB,"&gt;="&amp;L14,'Estimates of the use of water ('!$AB:$AB,"&lt;"&amp;M14)</f>
        <v>0</v>
      </c>
      <c r="O14" s="37"/>
    </row>
    <row r="15" spans="1:25" ht="12.75">
      <c r="K15" s="13" t="s">
        <v>313</v>
      </c>
      <c r="L15" s="16">
        <v>-2.5</v>
      </c>
      <c r="M15" s="16">
        <v>-2</v>
      </c>
      <c r="N15" s="13">
        <f>COUNTIFS('Estimates of the use of water ('!$AB:$AB,"&gt;="&amp;L15,'Estimates of the use of water ('!$AB:$AB,"&lt;"&amp;M15)</f>
        <v>1</v>
      </c>
      <c r="O15" s="37"/>
    </row>
    <row r="16" spans="1:25" ht="12.75">
      <c r="K16" s="13" t="s">
        <v>314</v>
      </c>
      <c r="L16" s="16">
        <v>-2</v>
      </c>
      <c r="M16" s="16">
        <v>-1.5</v>
      </c>
      <c r="N16" s="13">
        <f>COUNTIFS('Estimates of the use of water ('!$AB:$AB,"&gt;="&amp;L16,'Estimates of the use of water ('!$AB:$AB,"&lt;"&amp;M16)</f>
        <v>0</v>
      </c>
      <c r="O16" s="37"/>
    </row>
    <row r="17" spans="1:20" ht="12.75">
      <c r="K17" s="13" t="s">
        <v>315</v>
      </c>
      <c r="L17" s="16">
        <v>-1.5</v>
      </c>
      <c r="M17" s="16">
        <v>-1</v>
      </c>
      <c r="N17" s="13">
        <f>COUNTIFS('Estimates of the use of water ('!$AB:$AB,"&gt;="&amp;L17,'Estimates of the use of water ('!$AB:$AB,"&lt;"&amp;M17)</f>
        <v>1</v>
      </c>
      <c r="O17" s="37"/>
    </row>
    <row r="18" spans="1:20" ht="12.75">
      <c r="K18" s="13" t="s">
        <v>316</v>
      </c>
      <c r="L18" s="16">
        <v>-1</v>
      </c>
      <c r="M18" s="16">
        <v>-0.5</v>
      </c>
      <c r="N18" s="13">
        <f>COUNTIFS('Estimates of the use of water ('!$AB:$AB,"&gt;="&amp;L18,'Estimates of the use of water ('!$AB:$AB,"&lt;"&amp;M18)</f>
        <v>4</v>
      </c>
      <c r="O18" s="37"/>
    </row>
    <row r="19" spans="1:20" ht="12.75">
      <c r="K19" s="13" t="s">
        <v>317</v>
      </c>
      <c r="L19" s="16">
        <v>-0.5</v>
      </c>
      <c r="M19" s="16">
        <v>0</v>
      </c>
      <c r="N19" s="13">
        <f>COUNTIFS('Estimates of the use of water ('!$AB:$AB,"&gt;="&amp;L19,'Estimates of the use of water ('!$AB:$AB,"&lt;"&amp;M19)</f>
        <v>17</v>
      </c>
      <c r="O19" s="37"/>
    </row>
    <row r="20" spans="1:20" ht="12.75">
      <c r="K20" s="13" t="s">
        <v>318</v>
      </c>
      <c r="L20" s="16">
        <v>0</v>
      </c>
      <c r="M20" s="16">
        <v>0.5</v>
      </c>
      <c r="N20" s="13">
        <f>COUNTIFS('Estimates of the use of water ('!$AB:$AB,"&gt;="&amp;L20,'Estimates of the use of water ('!$AB:$AB,"&lt;"&amp;M20)</f>
        <v>89</v>
      </c>
      <c r="O20" s="37"/>
    </row>
    <row r="21" spans="1:20" ht="12.75">
      <c r="K21" s="13" t="s">
        <v>319</v>
      </c>
      <c r="L21" s="16">
        <v>0.5</v>
      </c>
      <c r="M21" s="16">
        <v>1</v>
      </c>
      <c r="N21" s="13">
        <f>COUNTIFS('Estimates of the use of water ('!$AB:$AB,"&gt;="&amp;L21,'Estimates of the use of water ('!$AB:$AB,"&lt;"&amp;M21)</f>
        <v>35</v>
      </c>
      <c r="O21" s="37"/>
      <c r="T21" s="40"/>
    </row>
    <row r="22" spans="1:20" ht="12.75">
      <c r="K22" s="13" t="s">
        <v>320</v>
      </c>
      <c r="L22" s="16">
        <v>1</v>
      </c>
      <c r="M22" s="16">
        <v>1.5</v>
      </c>
      <c r="N22" s="13">
        <f>COUNTIFS('Estimates of the use of water ('!$AB:$AB,"&gt;="&amp;L22,'Estimates of the use of water ('!$AB:$AB,"&lt;"&amp;M22)</f>
        <v>14</v>
      </c>
      <c r="O22" s="37"/>
    </row>
    <row r="23" spans="1:20" ht="12.75">
      <c r="K23" s="13" t="s">
        <v>321</v>
      </c>
      <c r="L23" s="16">
        <v>1.5</v>
      </c>
      <c r="M23" s="16">
        <v>2</v>
      </c>
      <c r="N23" s="13">
        <f>COUNTIFS('Estimates of the use of water ('!$AB:$AB,"&gt;="&amp;L23,'Estimates of the use of water ('!$AB:$AB,"&lt;"&amp;M23)</f>
        <v>3</v>
      </c>
      <c r="O23" s="37"/>
    </row>
    <row r="24" spans="1:20" ht="12.75">
      <c r="A24" s="40" t="s">
        <v>331</v>
      </c>
      <c r="B24" s="2" t="s">
        <v>332</v>
      </c>
      <c r="C24" s="1"/>
      <c r="K24" s="13" t="s">
        <v>322</v>
      </c>
      <c r="L24" s="16">
        <v>2</v>
      </c>
      <c r="M24" s="16">
        <v>2.5</v>
      </c>
      <c r="N24" s="13">
        <f>COUNTIFS('Estimates of the use of water ('!$AB:$AB,"&gt;="&amp;L24,'Estimates of the use of water ('!$AB:$AB,"&lt;"&amp;M24)</f>
        <v>1</v>
      </c>
      <c r="O24" s="37"/>
    </row>
    <row r="25" spans="1:20" ht="12.75">
      <c r="K25" s="13" t="s">
        <v>323</v>
      </c>
      <c r="L25" s="16">
        <v>2.5</v>
      </c>
      <c r="M25" s="16">
        <v>3</v>
      </c>
      <c r="N25" s="13">
        <f>COUNTIFS('Estimates of the use of water ('!$AB:$AB,"&gt;="&amp;L25,'Estimates of the use of water ('!$AB:$AB,"&lt;"&amp;M25)</f>
        <v>0</v>
      </c>
      <c r="O25" s="37"/>
    </row>
    <row r="26" spans="1:20" ht="12.75">
      <c r="B26" s="6" t="s">
        <v>285</v>
      </c>
      <c r="C26" s="7" t="s">
        <v>286</v>
      </c>
      <c r="D26" s="8" t="s">
        <v>287</v>
      </c>
      <c r="K26" s="14" t="s">
        <v>307</v>
      </c>
      <c r="L26" s="14"/>
      <c r="M26" s="14"/>
      <c r="N26" s="14">
        <f>SUM(N14:N25)</f>
        <v>165</v>
      </c>
      <c r="O26" s="37"/>
    </row>
    <row r="27" spans="1:20" ht="12.75">
      <c r="B27" s="42">
        <f>ROUND(AVERAGE('Estimates of the use of water ('!D:D),2)</f>
        <v>4.8</v>
      </c>
      <c r="C27" s="43">
        <f>MIN('Estimates of the use of water ('!D:D)</f>
        <v>1</v>
      </c>
      <c r="D27" s="44">
        <f>MAX('Estimates of the use of water ('!D:D)</f>
        <v>5</v>
      </c>
      <c r="O27" s="37"/>
    </row>
    <row r="28" spans="1:20" ht="12.75">
      <c r="O28" s="37"/>
    </row>
    <row r="29" spans="1:20" ht="12.75">
      <c r="O29" s="37"/>
    </row>
    <row r="30" spans="1:20" ht="12.75">
      <c r="O30" s="37"/>
    </row>
    <row r="31" spans="1:20" ht="12.75">
      <c r="O31" s="37"/>
    </row>
    <row r="32" spans="1:20" ht="12.75">
      <c r="O32" s="37"/>
    </row>
    <row r="33" spans="15:15" ht="12.75">
      <c r="O33" s="37"/>
    </row>
    <row r="34" spans="15:15" ht="12.75">
      <c r="O34" s="37"/>
    </row>
    <row r="35" spans="15:15" ht="12.75">
      <c r="O35" s="37"/>
    </row>
    <row r="36" spans="15:15" ht="12.75">
      <c r="O36" s="37"/>
    </row>
    <row r="37" spans="15:15" ht="12.75">
      <c r="O37" s="37"/>
    </row>
    <row r="38" spans="15:15" ht="12.75">
      <c r="O38" s="37"/>
    </row>
    <row r="39" spans="15:15" ht="12.75">
      <c r="O39" s="37"/>
    </row>
    <row r="40" spans="15:15" ht="12.75">
      <c r="O40" s="37"/>
    </row>
    <row r="41" spans="15:15" ht="12.75">
      <c r="O41" s="37"/>
    </row>
    <row r="42" spans="15:15" ht="12.75">
      <c r="O42" s="37"/>
    </row>
    <row r="43" spans="15:15" ht="12.75">
      <c r="O43" s="37"/>
    </row>
    <row r="44" spans="15:15" ht="15.75" customHeight="1">
      <c r="O44" s="37"/>
    </row>
    <row r="45" spans="15:15" ht="15.75" customHeight="1">
      <c r="O45" s="37"/>
    </row>
    <row r="46" spans="15:15" ht="12.75">
      <c r="O46" s="37"/>
    </row>
    <row r="47" spans="15:15" ht="12.75">
      <c r="O47" s="37"/>
    </row>
    <row r="48" spans="15:15" ht="12.75">
      <c r="O48" s="37"/>
    </row>
    <row r="49" spans="15:15" ht="12.75">
      <c r="O49" s="37"/>
    </row>
    <row r="50" spans="15:15" ht="12.75">
      <c r="O50" s="37"/>
    </row>
    <row r="51" spans="15:15" ht="12.75">
      <c r="O51" s="37"/>
    </row>
    <row r="52" spans="15:15" ht="12.75">
      <c r="O52" s="37"/>
    </row>
    <row r="53" spans="15:15" ht="12.75">
      <c r="O53" s="37"/>
    </row>
    <row r="54" spans="15:15" ht="12.75">
      <c r="O54" s="37"/>
    </row>
    <row r="55" spans="15:15" ht="12.75">
      <c r="O55" s="37"/>
    </row>
    <row r="56" spans="15:15" ht="12.75">
      <c r="O56" s="37"/>
    </row>
    <row r="57" spans="15:15" ht="12.75">
      <c r="O57" s="37"/>
    </row>
    <row r="58" spans="15:15" ht="12.75">
      <c r="O58" s="37"/>
    </row>
    <row r="59" spans="15:15" ht="12.75">
      <c r="O59" s="37"/>
    </row>
    <row r="60" spans="15:15" ht="12.75">
      <c r="O60" s="37"/>
    </row>
    <row r="61" spans="15:15" ht="12.75">
      <c r="O61" s="37"/>
    </row>
    <row r="62" spans="15:15" ht="12.75">
      <c r="O62" s="37"/>
    </row>
    <row r="63" spans="15:15" ht="12.75">
      <c r="O63" s="37"/>
    </row>
    <row r="64" spans="15:15" ht="12.75">
      <c r="O64" s="37"/>
    </row>
    <row r="65" spans="15:15" ht="12.75">
      <c r="O65" s="37"/>
    </row>
    <row r="66" spans="15:15" ht="12.75">
      <c r="O66" s="37"/>
    </row>
    <row r="67" spans="15:15" ht="12.75">
      <c r="O67" s="37"/>
    </row>
    <row r="68" spans="15:15" ht="12.75">
      <c r="O68" s="37"/>
    </row>
    <row r="69" spans="15:15" ht="12.75">
      <c r="O69" s="37"/>
    </row>
    <row r="70" spans="15:15" ht="12.75">
      <c r="O70" s="37"/>
    </row>
    <row r="71" spans="15:15" ht="12.75">
      <c r="O71" s="37"/>
    </row>
    <row r="72" spans="15:15" ht="12.75">
      <c r="O72" s="37"/>
    </row>
    <row r="73" spans="15:15" ht="12.75">
      <c r="O73" s="37"/>
    </row>
    <row r="74" spans="15:15" ht="12.75">
      <c r="O74" s="37"/>
    </row>
    <row r="75" spans="15:15" ht="12.75">
      <c r="O75" s="37"/>
    </row>
    <row r="76" spans="15:15" ht="12.75">
      <c r="O76" s="37"/>
    </row>
    <row r="77" spans="15:15" ht="12.75">
      <c r="O77" s="37"/>
    </row>
    <row r="78" spans="15:15" ht="12.75">
      <c r="O78" s="37"/>
    </row>
    <row r="79" spans="15:15" ht="12.75">
      <c r="O79" s="37"/>
    </row>
    <row r="80" spans="15:15" ht="12.75">
      <c r="O80" s="37"/>
    </row>
    <row r="81" spans="15:15" ht="12.75">
      <c r="O81" s="37"/>
    </row>
    <row r="82" spans="15:15" ht="12.75">
      <c r="O82" s="37"/>
    </row>
    <row r="83" spans="15:15" ht="12.75">
      <c r="O83" s="37"/>
    </row>
    <row r="84" spans="15:15" ht="12.75">
      <c r="O84" s="37"/>
    </row>
    <row r="85" spans="15:15" ht="12.75">
      <c r="O85" s="37"/>
    </row>
    <row r="86" spans="15:15" ht="12.75">
      <c r="O86" s="37"/>
    </row>
    <row r="87" spans="15:15" ht="12.75">
      <c r="O87" s="37"/>
    </row>
    <row r="88" spans="15:15" ht="12.75">
      <c r="O88" s="37"/>
    </row>
    <row r="89" spans="15:15" ht="12.75">
      <c r="O89" s="37"/>
    </row>
    <row r="90" spans="15:15" ht="12.75">
      <c r="O90" s="37"/>
    </row>
    <row r="91" spans="15:15" ht="12.75">
      <c r="O91" s="37"/>
    </row>
    <row r="92" spans="15:15" ht="12.75">
      <c r="O92" s="37"/>
    </row>
    <row r="93" spans="15:15" ht="12.75">
      <c r="O93" s="37"/>
    </row>
    <row r="94" spans="15:15" ht="12.75">
      <c r="O94" s="37"/>
    </row>
    <row r="95" spans="15:15" ht="12.75">
      <c r="O95" s="37"/>
    </row>
    <row r="96" spans="15:15" ht="12.75">
      <c r="O96" s="37"/>
    </row>
    <row r="97" spans="15:15" ht="12.75">
      <c r="O97" s="37"/>
    </row>
    <row r="98" spans="15:15" ht="12.75">
      <c r="O98" s="37"/>
    </row>
    <row r="99" spans="15:15" ht="12.75">
      <c r="O99" s="37"/>
    </row>
    <row r="100" spans="15:15" ht="12.75">
      <c r="O100" s="37"/>
    </row>
    <row r="101" spans="15:15" ht="12.75">
      <c r="O101" s="37"/>
    </row>
    <row r="102" spans="15:15" ht="12.75">
      <c r="O102" s="37"/>
    </row>
    <row r="103" spans="15:15" ht="12.75">
      <c r="O103" s="37"/>
    </row>
    <row r="104" spans="15:15" ht="12.75">
      <c r="O104" s="37"/>
    </row>
    <row r="105" spans="15:15" ht="12.75">
      <c r="O105" s="37"/>
    </row>
    <row r="106" spans="15:15" ht="12.75">
      <c r="O106" s="37"/>
    </row>
    <row r="107" spans="15:15" ht="12.75">
      <c r="O107" s="37"/>
    </row>
    <row r="108" spans="15:15" ht="12.75">
      <c r="O108" s="37"/>
    </row>
    <row r="109" spans="15:15" ht="12.75">
      <c r="O109" s="37"/>
    </row>
    <row r="110" spans="15:15" ht="12.75">
      <c r="O110" s="37"/>
    </row>
    <row r="111" spans="15:15" ht="12.75">
      <c r="O111" s="37"/>
    </row>
    <row r="112" spans="15:15" ht="12.75">
      <c r="O112" s="37"/>
    </row>
    <row r="113" spans="15:15" ht="12.75">
      <c r="O113" s="37"/>
    </row>
    <row r="114" spans="15:15" ht="12.75">
      <c r="O114" s="37"/>
    </row>
    <row r="115" spans="15:15" ht="12.75">
      <c r="O115" s="37"/>
    </row>
    <row r="116" spans="15:15" ht="12.75">
      <c r="O116" s="37"/>
    </row>
    <row r="117" spans="15:15" ht="12.75">
      <c r="O117" s="37"/>
    </row>
    <row r="118" spans="15:15" ht="12.75">
      <c r="O118" s="37"/>
    </row>
    <row r="119" spans="15:15" ht="12.75">
      <c r="O119" s="37"/>
    </row>
    <row r="120" spans="15:15" ht="12.75">
      <c r="O120" s="37"/>
    </row>
    <row r="121" spans="15:15" ht="12.75">
      <c r="O121" s="37"/>
    </row>
    <row r="122" spans="15:15" ht="12.75">
      <c r="O122" s="37"/>
    </row>
    <row r="123" spans="15:15" ht="12.75">
      <c r="O123" s="37"/>
    </row>
    <row r="124" spans="15:15" ht="12.75">
      <c r="O124" s="37"/>
    </row>
    <row r="125" spans="15:15" ht="12.75">
      <c r="O125" s="37"/>
    </row>
    <row r="126" spans="15:15" ht="12.75">
      <c r="O126" s="37"/>
    </row>
    <row r="127" spans="15:15" ht="12.75">
      <c r="O127" s="37"/>
    </row>
    <row r="128" spans="15:15" ht="12.75">
      <c r="O128" s="37"/>
    </row>
    <row r="129" spans="15:15" ht="12.75">
      <c r="O129" s="37"/>
    </row>
    <row r="130" spans="15:15" ht="12.75">
      <c r="O130" s="37"/>
    </row>
    <row r="131" spans="15:15" ht="12.75">
      <c r="O131" s="37"/>
    </row>
    <row r="132" spans="15:15" ht="12.75">
      <c r="O132" s="37"/>
    </row>
    <row r="133" spans="15:15" ht="12.75">
      <c r="O133" s="37"/>
    </row>
    <row r="134" spans="15:15" ht="12.75">
      <c r="O134" s="37"/>
    </row>
    <row r="135" spans="15:15" ht="12.75">
      <c r="O135" s="37"/>
    </row>
    <row r="136" spans="15:15" ht="12.75">
      <c r="O136" s="37"/>
    </row>
    <row r="137" spans="15:15" ht="12.75">
      <c r="O137" s="37"/>
    </row>
    <row r="138" spans="15:15" ht="12.75">
      <c r="O138" s="37"/>
    </row>
    <row r="139" spans="15:15" ht="12.75">
      <c r="O139" s="37"/>
    </row>
    <row r="140" spans="15:15" ht="12.75">
      <c r="O140" s="37"/>
    </row>
    <row r="141" spans="15:15" ht="12.75">
      <c r="O141" s="37"/>
    </row>
    <row r="142" spans="15:15" ht="12.75">
      <c r="O142" s="37"/>
    </row>
    <row r="143" spans="15:15" ht="12.75">
      <c r="O143" s="37"/>
    </row>
    <row r="144" spans="15:15" ht="12.75">
      <c r="O144" s="37"/>
    </row>
    <row r="145" spans="15:15" ht="12.75">
      <c r="O145" s="37"/>
    </row>
    <row r="146" spans="15:15" ht="12.75">
      <c r="O146" s="37"/>
    </row>
    <row r="147" spans="15:15" ht="12.75">
      <c r="O147" s="37"/>
    </row>
    <row r="148" spans="15:15" ht="12.75">
      <c r="O148" s="37"/>
    </row>
    <row r="149" spans="15:15" ht="12.75">
      <c r="O149" s="37"/>
    </row>
    <row r="150" spans="15:15" ht="12.75">
      <c r="O150" s="37"/>
    </row>
    <row r="151" spans="15:15" ht="12.75">
      <c r="O151" s="37"/>
    </row>
    <row r="152" spans="15:15" ht="12.75">
      <c r="O152" s="37"/>
    </row>
    <row r="153" spans="15:15" ht="12.75">
      <c r="O153" s="37"/>
    </row>
    <row r="154" spans="15:15" ht="12.75">
      <c r="O154" s="37"/>
    </row>
    <row r="155" spans="15:15" ht="12.75">
      <c r="O155" s="37"/>
    </row>
    <row r="156" spans="15:15" ht="12.75">
      <c r="O156" s="37"/>
    </row>
    <row r="157" spans="15:15" ht="12.75">
      <c r="O157" s="37"/>
    </row>
    <row r="158" spans="15:15" ht="12.75">
      <c r="O158" s="37"/>
    </row>
    <row r="159" spans="15:15" ht="12.75">
      <c r="O159" s="37"/>
    </row>
    <row r="160" spans="15:15" ht="12.75">
      <c r="O160" s="37"/>
    </row>
    <row r="161" spans="15:15" ht="12.75">
      <c r="O161" s="37"/>
    </row>
    <row r="162" spans="15:15" ht="12.75">
      <c r="O162" s="37"/>
    </row>
    <row r="163" spans="15:15" ht="12.75">
      <c r="O163" s="37"/>
    </row>
    <row r="164" spans="15:15" ht="12.75">
      <c r="O164" s="37"/>
    </row>
    <row r="165" spans="15:15" ht="12.75">
      <c r="O165" s="37"/>
    </row>
    <row r="166" spans="15:15" ht="12.75">
      <c r="O166" s="37"/>
    </row>
    <row r="167" spans="15:15" ht="12.75">
      <c r="O167" s="37"/>
    </row>
    <row r="168" spans="15:15" ht="12.75">
      <c r="O168" s="37"/>
    </row>
    <row r="169" spans="15:15" ht="12.75">
      <c r="O169" s="37"/>
    </row>
    <row r="170" spans="15:15" ht="12.75">
      <c r="O170" s="37"/>
    </row>
    <row r="171" spans="15:15" ht="12.75">
      <c r="O171" s="37"/>
    </row>
    <row r="172" spans="15:15" ht="12.75">
      <c r="O172" s="37"/>
    </row>
    <row r="173" spans="15:15" ht="12.75">
      <c r="O173" s="37"/>
    </row>
    <row r="174" spans="15:15" ht="12.75">
      <c r="O174" s="37"/>
    </row>
    <row r="175" spans="15:15" ht="12.75">
      <c r="O175" s="37"/>
    </row>
    <row r="176" spans="15:15" ht="12.75">
      <c r="O176" s="37"/>
    </row>
    <row r="177" spans="15:15" ht="12.75">
      <c r="O177" s="37"/>
    </row>
    <row r="178" spans="15:15" ht="12.75">
      <c r="O178" s="37"/>
    </row>
    <row r="179" spans="15:15" ht="12.75">
      <c r="O179" s="37"/>
    </row>
    <row r="180" spans="15:15" ht="12.75">
      <c r="O180" s="37"/>
    </row>
    <row r="181" spans="15:15" ht="12.75">
      <c r="O181" s="37"/>
    </row>
    <row r="182" spans="15:15" ht="12.75">
      <c r="O182" s="37"/>
    </row>
    <row r="183" spans="15:15" ht="12.75">
      <c r="O183" s="37"/>
    </row>
    <row r="184" spans="15:15" ht="12.75">
      <c r="O184" s="37"/>
    </row>
    <row r="185" spans="15:15" ht="12.75">
      <c r="O185" s="37"/>
    </row>
    <row r="186" spans="15:15" ht="12.75">
      <c r="O186" s="37"/>
    </row>
    <row r="187" spans="15:15" ht="12.75">
      <c r="O187" s="37"/>
    </row>
    <row r="188" spans="15:15" ht="12.75">
      <c r="O188" s="37"/>
    </row>
    <row r="189" spans="15:15" ht="12.75">
      <c r="O189" s="37"/>
    </row>
    <row r="190" spans="15:15" ht="12.75">
      <c r="O190" s="37"/>
    </row>
    <row r="191" spans="15:15" ht="12.75">
      <c r="O191" s="37"/>
    </row>
    <row r="192" spans="15:15" ht="12.75">
      <c r="O192" s="37"/>
    </row>
    <row r="193" spans="15:15" ht="12.75">
      <c r="O193" s="37"/>
    </row>
    <row r="194" spans="15:15" ht="12.75">
      <c r="O194" s="37"/>
    </row>
    <row r="195" spans="15:15" ht="12.75">
      <c r="O195" s="37"/>
    </row>
    <row r="196" spans="15:15" ht="12.75">
      <c r="O196" s="37"/>
    </row>
    <row r="197" spans="15:15" ht="12.75">
      <c r="O197" s="37"/>
    </row>
    <row r="198" spans="15:15" ht="12.75">
      <c r="O198" s="37"/>
    </row>
    <row r="199" spans="15:15" ht="12.75">
      <c r="O199" s="37"/>
    </row>
    <row r="200" spans="15:15" ht="12.75">
      <c r="O200" s="37"/>
    </row>
    <row r="201" spans="15:15" ht="12.75">
      <c r="O201" s="37"/>
    </row>
    <row r="202" spans="15:15" ht="12.75">
      <c r="O202" s="37"/>
    </row>
    <row r="203" spans="15:15" ht="12.75">
      <c r="O203" s="37"/>
    </row>
    <row r="204" spans="15:15" ht="12.75">
      <c r="O204" s="37"/>
    </row>
    <row r="205" spans="15:15" ht="12.75">
      <c r="O205" s="37"/>
    </row>
    <row r="206" spans="15:15" ht="12.75">
      <c r="O206" s="37"/>
    </row>
    <row r="207" spans="15:15" ht="12.75">
      <c r="O207" s="37"/>
    </row>
    <row r="208" spans="15:15" ht="12.75">
      <c r="O208" s="37"/>
    </row>
    <row r="209" spans="15:15" ht="12.75">
      <c r="O209" s="37"/>
    </row>
    <row r="210" spans="15:15" ht="12.75">
      <c r="O210" s="37"/>
    </row>
    <row r="211" spans="15:15" ht="12.75">
      <c r="O211" s="37"/>
    </row>
    <row r="212" spans="15:15" ht="12.75">
      <c r="O212" s="37"/>
    </row>
    <row r="213" spans="15:15" ht="12.75">
      <c r="O213" s="37"/>
    </row>
    <row r="214" spans="15:15" ht="12.75">
      <c r="O214" s="37"/>
    </row>
    <row r="215" spans="15:15" ht="12.75">
      <c r="O215" s="37"/>
    </row>
    <row r="216" spans="15:15" ht="12.75">
      <c r="O216" s="37"/>
    </row>
    <row r="217" spans="15:15" ht="12.75">
      <c r="O217" s="37"/>
    </row>
    <row r="218" spans="15:15" ht="12.75">
      <c r="O218" s="37"/>
    </row>
    <row r="219" spans="15:15" ht="12.75">
      <c r="O219" s="37"/>
    </row>
    <row r="220" spans="15:15" ht="12.75">
      <c r="O220" s="37"/>
    </row>
    <row r="221" spans="15:15" ht="12.75">
      <c r="O221" s="37"/>
    </row>
    <row r="222" spans="15:15" ht="12.75">
      <c r="O222" s="37"/>
    </row>
    <row r="223" spans="15:15" ht="12.75">
      <c r="O223" s="37"/>
    </row>
    <row r="224" spans="15:15" ht="12.75">
      <c r="O224" s="37"/>
    </row>
    <row r="225" spans="15:15" ht="12.75">
      <c r="O225" s="37"/>
    </row>
    <row r="226" spans="15:15" ht="12.75">
      <c r="O226" s="37"/>
    </row>
    <row r="227" spans="15:15" ht="12.75">
      <c r="O227" s="37"/>
    </row>
    <row r="228" spans="15:15" ht="12.75">
      <c r="O228" s="37"/>
    </row>
    <row r="229" spans="15:15" ht="12.75">
      <c r="O229" s="37"/>
    </row>
    <row r="230" spans="15:15" ht="12.75">
      <c r="O230" s="37"/>
    </row>
    <row r="231" spans="15:15" ht="12.75">
      <c r="O231" s="37"/>
    </row>
    <row r="232" spans="15:15" ht="12.75">
      <c r="O232" s="37"/>
    </row>
    <row r="233" spans="15:15" ht="12.75">
      <c r="O233" s="37"/>
    </row>
    <row r="234" spans="15:15" ht="12.75">
      <c r="O234" s="37"/>
    </row>
    <row r="235" spans="15:15" ht="12.75">
      <c r="O235" s="37"/>
    </row>
    <row r="236" spans="15:15" ht="12.75">
      <c r="O236" s="37"/>
    </row>
    <row r="237" spans="15:15" ht="12.75">
      <c r="O237" s="37"/>
    </row>
    <row r="238" spans="15:15" ht="12.75">
      <c r="O238" s="37"/>
    </row>
    <row r="239" spans="15:15" ht="12.75">
      <c r="O239" s="37"/>
    </row>
    <row r="240" spans="15:15" ht="12.75">
      <c r="O240" s="37"/>
    </row>
    <row r="241" spans="15:15" ht="12.75">
      <c r="O241" s="37"/>
    </row>
    <row r="242" spans="15:15" ht="12.75">
      <c r="O242" s="37"/>
    </row>
    <row r="243" spans="15:15" ht="12.75">
      <c r="O243" s="37"/>
    </row>
    <row r="244" spans="15:15" ht="12.75">
      <c r="O244" s="37"/>
    </row>
    <row r="245" spans="15:15" ht="12.75">
      <c r="O245" s="37"/>
    </row>
    <row r="246" spans="15:15" ht="12.75">
      <c r="O246" s="37"/>
    </row>
    <row r="247" spans="15:15" ht="12.75">
      <c r="O247" s="37"/>
    </row>
    <row r="248" spans="15:15" ht="12.75">
      <c r="O248" s="37"/>
    </row>
    <row r="249" spans="15:15" ht="12.75">
      <c r="O249" s="37"/>
    </row>
    <row r="250" spans="15:15" ht="12.75">
      <c r="O250" s="37"/>
    </row>
    <row r="251" spans="15:15" ht="12.75">
      <c r="O251" s="37"/>
    </row>
    <row r="252" spans="15:15" ht="12.75">
      <c r="O252" s="37"/>
    </row>
    <row r="253" spans="15:15" ht="12.75">
      <c r="O253" s="37"/>
    </row>
    <row r="254" spans="15:15" ht="12.75">
      <c r="O254" s="37"/>
    </row>
    <row r="255" spans="15:15" ht="12.75">
      <c r="O255" s="37"/>
    </row>
    <row r="256" spans="15:15" ht="12.75">
      <c r="O256" s="37"/>
    </row>
    <row r="257" spans="15:15" ht="12.75">
      <c r="O257" s="37"/>
    </row>
    <row r="258" spans="15:15" ht="12.75">
      <c r="O258" s="37"/>
    </row>
    <row r="259" spans="15:15" ht="12.75">
      <c r="O259" s="37"/>
    </row>
    <row r="260" spans="15:15" ht="12.75">
      <c r="O260" s="37"/>
    </row>
    <row r="261" spans="15:15" ht="12.75">
      <c r="O261" s="37"/>
    </row>
    <row r="262" spans="15:15" ht="12.75">
      <c r="O262" s="37"/>
    </row>
    <row r="263" spans="15:15" ht="12.75">
      <c r="O263" s="37"/>
    </row>
    <row r="264" spans="15:15" ht="12.75">
      <c r="O264" s="37"/>
    </row>
    <row r="265" spans="15:15" ht="12.75">
      <c r="O265" s="37"/>
    </row>
    <row r="266" spans="15:15" ht="12.75">
      <c r="O266" s="37"/>
    </row>
    <row r="267" spans="15:15" ht="12.75">
      <c r="O267" s="37"/>
    </row>
    <row r="268" spans="15:15" ht="12.75">
      <c r="O268" s="37"/>
    </row>
    <row r="269" spans="15:15" ht="12.75">
      <c r="O269" s="37"/>
    </row>
    <row r="270" spans="15:15" ht="12.75">
      <c r="O270" s="37"/>
    </row>
    <row r="271" spans="15:15" ht="12.75">
      <c r="O271" s="37"/>
    </row>
    <row r="272" spans="15:15" ht="12.75">
      <c r="O272" s="37"/>
    </row>
    <row r="273" spans="15:15" ht="12.75">
      <c r="O273" s="37"/>
    </row>
    <row r="274" spans="15:15" ht="12.75">
      <c r="O274" s="37"/>
    </row>
    <row r="275" spans="15:15" ht="12.75">
      <c r="O275" s="37"/>
    </row>
    <row r="276" spans="15:15" ht="12.75">
      <c r="O276" s="37"/>
    </row>
    <row r="277" spans="15:15" ht="12.75">
      <c r="O277" s="37"/>
    </row>
    <row r="278" spans="15:15" ht="12.75">
      <c r="O278" s="37"/>
    </row>
    <row r="279" spans="15:15" ht="12.75">
      <c r="O279" s="37"/>
    </row>
    <row r="280" spans="15:15" ht="12.75">
      <c r="O280" s="37"/>
    </row>
    <row r="281" spans="15:15" ht="12.75">
      <c r="O281" s="37"/>
    </row>
    <row r="282" spans="15:15" ht="12.75">
      <c r="O282" s="37"/>
    </row>
    <row r="283" spans="15:15" ht="12.75">
      <c r="O283" s="37"/>
    </row>
    <row r="284" spans="15:15" ht="12.75">
      <c r="O284" s="37"/>
    </row>
    <row r="285" spans="15:15" ht="12.75">
      <c r="O285" s="37"/>
    </row>
    <row r="286" spans="15:15" ht="12.75">
      <c r="O286" s="37"/>
    </row>
    <row r="287" spans="15:15" ht="12.75">
      <c r="O287" s="37"/>
    </row>
    <row r="288" spans="15:15" ht="12.75">
      <c r="O288" s="37"/>
    </row>
    <row r="289" spans="15:15" ht="12.75">
      <c r="O289" s="37"/>
    </row>
    <row r="290" spans="15:15" ht="12.75">
      <c r="O290" s="37"/>
    </row>
    <row r="291" spans="15:15" ht="12.75">
      <c r="O291" s="37"/>
    </row>
    <row r="292" spans="15:15" ht="12.75">
      <c r="O292" s="37"/>
    </row>
    <row r="293" spans="15:15" ht="12.75">
      <c r="O293" s="37"/>
    </row>
    <row r="294" spans="15:15" ht="12.75">
      <c r="O294" s="37"/>
    </row>
    <row r="295" spans="15:15" ht="12.75">
      <c r="O295" s="37"/>
    </row>
    <row r="296" spans="15:15" ht="12.75">
      <c r="O296" s="37"/>
    </row>
    <row r="297" spans="15:15" ht="12.75">
      <c r="O297" s="37"/>
    </row>
    <row r="298" spans="15:15" ht="12.75">
      <c r="O298" s="37"/>
    </row>
    <row r="299" spans="15:15" ht="12.75">
      <c r="O299" s="37"/>
    </row>
    <row r="300" spans="15:15" ht="12.75">
      <c r="O300" s="37"/>
    </row>
    <row r="301" spans="15:15" ht="12.75">
      <c r="O301" s="37"/>
    </row>
    <row r="302" spans="15:15" ht="12.75">
      <c r="O302" s="37"/>
    </row>
    <row r="303" spans="15:15" ht="12.75">
      <c r="O303" s="37"/>
    </row>
    <row r="304" spans="15:15" ht="12.75">
      <c r="O304" s="37"/>
    </row>
    <row r="305" spans="15:15" ht="12.75">
      <c r="O305" s="37"/>
    </row>
    <row r="306" spans="15:15" ht="12.75">
      <c r="O306" s="37"/>
    </row>
    <row r="307" spans="15:15" ht="12.75">
      <c r="O307" s="37"/>
    </row>
    <row r="308" spans="15:15" ht="12.75">
      <c r="O308" s="37"/>
    </row>
    <row r="309" spans="15:15" ht="12.75">
      <c r="O309" s="37"/>
    </row>
    <row r="310" spans="15:15" ht="12.75">
      <c r="O310" s="37"/>
    </row>
    <row r="311" spans="15:15" ht="12.75">
      <c r="O311" s="37"/>
    </row>
    <row r="312" spans="15:15" ht="12.75">
      <c r="O312" s="37"/>
    </row>
    <row r="313" spans="15:15" ht="12.75">
      <c r="O313" s="37"/>
    </row>
    <row r="314" spans="15:15" ht="12.75">
      <c r="O314" s="37"/>
    </row>
    <row r="315" spans="15:15" ht="12.75">
      <c r="O315" s="37"/>
    </row>
    <row r="316" spans="15:15" ht="12.75">
      <c r="O316" s="37"/>
    </row>
    <row r="317" spans="15:15" ht="12.75">
      <c r="O317" s="37"/>
    </row>
    <row r="318" spans="15:15" ht="12.75">
      <c r="O318" s="37"/>
    </row>
    <row r="319" spans="15:15" ht="12.75">
      <c r="O319" s="37"/>
    </row>
    <row r="320" spans="15:15" ht="12.75">
      <c r="O320" s="37"/>
    </row>
    <row r="321" spans="15:15" ht="12.75">
      <c r="O321" s="37"/>
    </row>
    <row r="322" spans="15:15" ht="12.75">
      <c r="O322" s="37"/>
    </row>
    <row r="323" spans="15:15" ht="12.75">
      <c r="O323" s="37"/>
    </row>
    <row r="324" spans="15:15" ht="12.75">
      <c r="O324" s="37"/>
    </row>
    <row r="325" spans="15:15" ht="12.75">
      <c r="O325" s="37"/>
    </row>
    <row r="326" spans="15:15" ht="12.75">
      <c r="O326" s="37"/>
    </row>
    <row r="327" spans="15:15" ht="12.75">
      <c r="O327" s="37"/>
    </row>
    <row r="328" spans="15:15" ht="12.75">
      <c r="O328" s="37"/>
    </row>
    <row r="329" spans="15:15" ht="12.75">
      <c r="O329" s="37"/>
    </row>
    <row r="330" spans="15:15" ht="12.75">
      <c r="O330" s="37"/>
    </row>
    <row r="331" spans="15:15" ht="12.75">
      <c r="O331" s="37"/>
    </row>
    <row r="332" spans="15:15" ht="12.75">
      <c r="O332" s="37"/>
    </row>
    <row r="333" spans="15:15" ht="12.75">
      <c r="O333" s="37"/>
    </row>
    <row r="334" spans="15:15" ht="12.75">
      <c r="O334" s="37"/>
    </row>
    <row r="335" spans="15:15" ht="12.75">
      <c r="O335" s="37"/>
    </row>
    <row r="336" spans="15:15" ht="12.75">
      <c r="O336" s="37"/>
    </row>
    <row r="337" spans="15:15" ht="12.75">
      <c r="O337" s="37"/>
    </row>
    <row r="338" spans="15:15" ht="12.75">
      <c r="O338" s="37"/>
    </row>
    <row r="339" spans="15:15" ht="12.75">
      <c r="O339" s="37"/>
    </row>
    <row r="340" spans="15:15" ht="12.75">
      <c r="O340" s="37"/>
    </row>
    <row r="341" spans="15:15" ht="12.75">
      <c r="O341" s="37"/>
    </row>
    <row r="342" spans="15:15" ht="12.75">
      <c r="O342" s="37"/>
    </row>
    <row r="343" spans="15:15" ht="12.75">
      <c r="O343" s="37"/>
    </row>
    <row r="344" spans="15:15" ht="12.75">
      <c r="O344" s="37"/>
    </row>
    <row r="345" spans="15:15" ht="12.75">
      <c r="O345" s="37"/>
    </row>
    <row r="346" spans="15:15" ht="12.75">
      <c r="O346" s="37"/>
    </row>
    <row r="347" spans="15:15" ht="12.75">
      <c r="O347" s="37"/>
    </row>
    <row r="348" spans="15:15" ht="12.75">
      <c r="O348" s="37"/>
    </row>
    <row r="349" spans="15:15" ht="12.75">
      <c r="O349" s="37"/>
    </row>
    <row r="350" spans="15:15" ht="12.75">
      <c r="O350" s="37"/>
    </row>
    <row r="351" spans="15:15" ht="12.75">
      <c r="O351" s="37"/>
    </row>
    <row r="352" spans="15:15" ht="12.75">
      <c r="O352" s="37"/>
    </row>
    <row r="353" spans="15:15" ht="12.75">
      <c r="O353" s="37"/>
    </row>
    <row r="354" spans="15:15" ht="12.75">
      <c r="O354" s="37"/>
    </row>
    <row r="355" spans="15:15" ht="12.75">
      <c r="O355" s="37"/>
    </row>
    <row r="356" spans="15:15" ht="12.75">
      <c r="O356" s="37"/>
    </row>
    <row r="357" spans="15:15" ht="12.75">
      <c r="O357" s="37"/>
    </row>
    <row r="358" spans="15:15" ht="12.75">
      <c r="O358" s="37"/>
    </row>
    <row r="359" spans="15:15" ht="12.75">
      <c r="O359" s="37"/>
    </row>
    <row r="360" spans="15:15" ht="12.75">
      <c r="O360" s="37"/>
    </row>
    <row r="361" spans="15:15" ht="12.75">
      <c r="O361" s="37"/>
    </row>
    <row r="362" spans="15:15" ht="12.75">
      <c r="O362" s="37"/>
    </row>
    <row r="363" spans="15:15" ht="12.75">
      <c r="O363" s="37"/>
    </row>
    <row r="364" spans="15:15" ht="12.75">
      <c r="O364" s="37"/>
    </row>
    <row r="365" spans="15:15" ht="12.75">
      <c r="O365" s="37"/>
    </row>
    <row r="366" spans="15:15" ht="12.75">
      <c r="O366" s="37"/>
    </row>
    <row r="367" spans="15:15" ht="12.75">
      <c r="O367" s="37"/>
    </row>
    <row r="368" spans="15:15" ht="12.75">
      <c r="O368" s="37"/>
    </row>
    <row r="369" spans="15:15" ht="12.75">
      <c r="O369" s="37"/>
    </row>
    <row r="370" spans="15:15" ht="12.75">
      <c r="O370" s="37"/>
    </row>
    <row r="371" spans="15:15" ht="12.75">
      <c r="O371" s="37"/>
    </row>
    <row r="372" spans="15:15" ht="12.75">
      <c r="O372" s="37"/>
    </row>
    <row r="373" spans="15:15" ht="12.75">
      <c r="O373" s="37"/>
    </row>
    <row r="374" spans="15:15" ht="12.75">
      <c r="O374" s="37"/>
    </row>
    <row r="375" spans="15:15" ht="12.75">
      <c r="O375" s="37"/>
    </row>
    <row r="376" spans="15:15" ht="12.75">
      <c r="O376" s="37"/>
    </row>
    <row r="377" spans="15:15" ht="12.75">
      <c r="O377" s="37"/>
    </row>
    <row r="378" spans="15:15" ht="12.75">
      <c r="O378" s="37"/>
    </row>
    <row r="379" spans="15:15" ht="12.75">
      <c r="O379" s="37"/>
    </row>
    <row r="380" spans="15:15" ht="12.75">
      <c r="O380" s="37"/>
    </row>
    <row r="381" spans="15:15" ht="12.75">
      <c r="O381" s="37"/>
    </row>
    <row r="382" spans="15:15" ht="12.75">
      <c r="O382" s="37"/>
    </row>
    <row r="383" spans="15:15" ht="12.75">
      <c r="O383" s="37"/>
    </row>
    <row r="384" spans="15:15" ht="12.75">
      <c r="O384" s="37"/>
    </row>
    <row r="385" spans="15:15" ht="12.75">
      <c r="O385" s="37"/>
    </row>
    <row r="386" spans="15:15" ht="12.75">
      <c r="O386" s="37"/>
    </row>
    <row r="387" spans="15:15" ht="12.75">
      <c r="O387" s="37"/>
    </row>
    <row r="388" spans="15:15" ht="12.75">
      <c r="O388" s="37"/>
    </row>
    <row r="389" spans="15:15" ht="12.75">
      <c r="O389" s="37"/>
    </row>
    <row r="390" spans="15:15" ht="12.75">
      <c r="O390" s="37"/>
    </row>
    <row r="391" spans="15:15" ht="12.75">
      <c r="O391" s="37"/>
    </row>
    <row r="392" spans="15:15" ht="12.75">
      <c r="O392" s="37"/>
    </row>
    <row r="393" spans="15:15" ht="12.75">
      <c r="O393" s="37"/>
    </row>
    <row r="394" spans="15:15" ht="12.75">
      <c r="O394" s="37"/>
    </row>
    <row r="395" spans="15:15" ht="12.75">
      <c r="O395" s="37"/>
    </row>
    <row r="396" spans="15:15" ht="12.75">
      <c r="O396" s="37"/>
    </row>
    <row r="397" spans="15:15" ht="12.75">
      <c r="O397" s="37"/>
    </row>
    <row r="398" spans="15:15" ht="12.75">
      <c r="O398" s="37"/>
    </row>
    <row r="399" spans="15:15" ht="12.75">
      <c r="O399" s="37"/>
    </row>
    <row r="400" spans="15:15" ht="12.75">
      <c r="O400" s="37"/>
    </row>
    <row r="401" spans="15:15" ht="12.75">
      <c r="O401" s="37"/>
    </row>
    <row r="402" spans="15:15" ht="12.75">
      <c r="O402" s="37"/>
    </row>
    <row r="403" spans="15:15" ht="12.75">
      <c r="O403" s="37"/>
    </row>
    <row r="404" spans="15:15" ht="12.75">
      <c r="O404" s="37"/>
    </row>
    <row r="405" spans="15:15" ht="12.75">
      <c r="O405" s="37"/>
    </row>
    <row r="406" spans="15:15" ht="12.75">
      <c r="O406" s="37"/>
    </row>
    <row r="407" spans="15:15" ht="12.75">
      <c r="O407" s="37"/>
    </row>
    <row r="408" spans="15:15" ht="12.75">
      <c r="O408" s="37"/>
    </row>
    <row r="409" spans="15:15" ht="12.75">
      <c r="O409" s="37"/>
    </row>
    <row r="410" spans="15:15" ht="12.75">
      <c r="O410" s="37"/>
    </row>
    <row r="411" spans="15:15" ht="12.75">
      <c r="O411" s="37"/>
    </row>
    <row r="412" spans="15:15" ht="12.75">
      <c r="O412" s="37"/>
    </row>
    <row r="413" spans="15:15" ht="12.75">
      <c r="O413" s="37"/>
    </row>
    <row r="414" spans="15:15" ht="12.75">
      <c r="O414" s="37"/>
    </row>
    <row r="415" spans="15:15" ht="12.75">
      <c r="O415" s="37"/>
    </row>
    <row r="416" spans="15:15" ht="12.75">
      <c r="O416" s="37"/>
    </row>
    <row r="417" spans="15:15" ht="12.75">
      <c r="O417" s="37"/>
    </row>
    <row r="418" spans="15:15" ht="12.75">
      <c r="O418" s="37"/>
    </row>
    <row r="419" spans="15:15" ht="12.75">
      <c r="O419" s="37"/>
    </row>
    <row r="420" spans="15:15" ht="12.75">
      <c r="O420" s="37"/>
    </row>
    <row r="421" spans="15:15" ht="12.75">
      <c r="O421" s="37"/>
    </row>
    <row r="422" spans="15:15" ht="12.75">
      <c r="O422" s="37"/>
    </row>
    <row r="423" spans="15:15" ht="12.75">
      <c r="O423" s="37"/>
    </row>
    <row r="424" spans="15:15" ht="12.75">
      <c r="O424" s="37"/>
    </row>
    <row r="425" spans="15:15" ht="12.75">
      <c r="O425" s="37"/>
    </row>
    <row r="426" spans="15:15" ht="12.75">
      <c r="O426" s="37"/>
    </row>
    <row r="427" spans="15:15" ht="12.75">
      <c r="O427" s="37"/>
    </row>
    <row r="428" spans="15:15" ht="12.75">
      <c r="O428" s="37"/>
    </row>
    <row r="429" spans="15:15" ht="12.75">
      <c r="O429" s="37"/>
    </row>
    <row r="430" spans="15:15" ht="12.75">
      <c r="O430" s="37"/>
    </row>
    <row r="431" spans="15:15" ht="12.75">
      <c r="O431" s="37"/>
    </row>
    <row r="432" spans="15:15" ht="12.75">
      <c r="O432" s="37"/>
    </row>
    <row r="433" spans="15:15" ht="12.75">
      <c r="O433" s="37"/>
    </row>
    <row r="434" spans="15:15" ht="12.75">
      <c r="O434" s="37"/>
    </row>
    <row r="435" spans="15:15" ht="12.75">
      <c r="O435" s="37"/>
    </row>
    <row r="436" spans="15:15" ht="12.75">
      <c r="O436" s="37"/>
    </row>
    <row r="437" spans="15:15" ht="12.75">
      <c r="O437" s="37"/>
    </row>
    <row r="438" spans="15:15" ht="12.75">
      <c r="O438" s="37"/>
    </row>
    <row r="439" spans="15:15" ht="12.75">
      <c r="O439" s="37"/>
    </row>
    <row r="440" spans="15:15" ht="12.75">
      <c r="O440" s="37"/>
    </row>
    <row r="441" spans="15:15" ht="12.75">
      <c r="O441" s="37"/>
    </row>
    <row r="442" spans="15:15" ht="12.75">
      <c r="O442" s="37"/>
    </row>
    <row r="443" spans="15:15" ht="12.75">
      <c r="O443" s="37"/>
    </row>
    <row r="444" spans="15:15" ht="12.75">
      <c r="O444" s="37"/>
    </row>
    <row r="445" spans="15:15" ht="12.75">
      <c r="O445" s="37"/>
    </row>
    <row r="446" spans="15:15" ht="12.75">
      <c r="O446" s="37"/>
    </row>
    <row r="447" spans="15:15" ht="12.75">
      <c r="O447" s="37"/>
    </row>
    <row r="448" spans="15:15" ht="12.75">
      <c r="O448" s="37"/>
    </row>
    <row r="449" spans="15:15" ht="12.75">
      <c r="O449" s="37"/>
    </row>
    <row r="450" spans="15:15" ht="12.75">
      <c r="O450" s="37"/>
    </row>
    <row r="451" spans="15:15" ht="12.75">
      <c r="O451" s="37"/>
    </row>
    <row r="452" spans="15:15" ht="12.75">
      <c r="O452" s="37"/>
    </row>
    <row r="453" spans="15:15" ht="12.75">
      <c r="O453" s="37"/>
    </row>
    <row r="454" spans="15:15" ht="12.75">
      <c r="O454" s="37"/>
    </row>
    <row r="455" spans="15:15" ht="12.75">
      <c r="O455" s="37"/>
    </row>
    <row r="456" spans="15:15" ht="12.75">
      <c r="O456" s="37"/>
    </row>
    <row r="457" spans="15:15" ht="12.75">
      <c r="O457" s="37"/>
    </row>
    <row r="458" spans="15:15" ht="12.75">
      <c r="O458" s="37"/>
    </row>
    <row r="459" spans="15:15" ht="12.75">
      <c r="O459" s="37"/>
    </row>
    <row r="460" spans="15:15" ht="12.75">
      <c r="O460" s="37"/>
    </row>
    <row r="461" spans="15:15" ht="12.75">
      <c r="O461" s="37"/>
    </row>
    <row r="462" spans="15:15" ht="12.75">
      <c r="O462" s="37"/>
    </row>
    <row r="463" spans="15:15" ht="12.75">
      <c r="O463" s="37"/>
    </row>
    <row r="464" spans="15:15" ht="12.75">
      <c r="O464" s="37"/>
    </row>
    <row r="465" spans="15:15" ht="12.75">
      <c r="O465" s="37"/>
    </row>
    <row r="466" spans="15:15" ht="12.75">
      <c r="O466" s="37"/>
    </row>
    <row r="467" spans="15:15" ht="12.75">
      <c r="O467" s="37"/>
    </row>
    <row r="468" spans="15:15" ht="12.75">
      <c r="O468" s="37"/>
    </row>
    <row r="469" spans="15:15" ht="12.75">
      <c r="O469" s="37"/>
    </row>
    <row r="470" spans="15:15" ht="12.75">
      <c r="O470" s="37"/>
    </row>
    <row r="471" spans="15:15" ht="12.75">
      <c r="O471" s="37"/>
    </row>
    <row r="472" spans="15:15" ht="12.75">
      <c r="O472" s="37"/>
    </row>
    <row r="473" spans="15:15" ht="12.75">
      <c r="O473" s="37"/>
    </row>
    <row r="474" spans="15:15" ht="12.75">
      <c r="O474" s="37"/>
    </row>
    <row r="475" spans="15:15" ht="12.75">
      <c r="O475" s="37"/>
    </row>
    <row r="476" spans="15:15" ht="12.75">
      <c r="O476" s="37"/>
    </row>
    <row r="477" spans="15:15" ht="12.75">
      <c r="O477" s="37"/>
    </row>
    <row r="478" spans="15:15" ht="12.75">
      <c r="O478" s="37"/>
    </row>
    <row r="479" spans="15:15" ht="12.75">
      <c r="O479" s="37"/>
    </row>
    <row r="480" spans="15:15" ht="12.75">
      <c r="O480" s="37"/>
    </row>
    <row r="481" spans="15:15" ht="12.75">
      <c r="O481" s="37"/>
    </row>
    <row r="482" spans="15:15" ht="12.75">
      <c r="O482" s="37"/>
    </row>
    <row r="483" spans="15:15" ht="12.75">
      <c r="O483" s="37"/>
    </row>
    <row r="484" spans="15:15" ht="12.75">
      <c r="O484" s="37"/>
    </row>
    <row r="485" spans="15:15" ht="12.75">
      <c r="O485" s="37"/>
    </row>
    <row r="486" spans="15:15" ht="12.75">
      <c r="O486" s="37"/>
    </row>
    <row r="487" spans="15:15" ht="12.75">
      <c r="O487" s="37"/>
    </row>
    <row r="488" spans="15:15" ht="12.75">
      <c r="O488" s="37"/>
    </row>
    <row r="489" spans="15:15" ht="12.75">
      <c r="O489" s="37"/>
    </row>
    <row r="490" spans="15:15" ht="12.75">
      <c r="O490" s="37"/>
    </row>
    <row r="491" spans="15:15" ht="12.75">
      <c r="O491" s="37"/>
    </row>
    <row r="492" spans="15:15" ht="12.75">
      <c r="O492" s="37"/>
    </row>
    <row r="493" spans="15:15" ht="12.75">
      <c r="O493" s="37"/>
    </row>
    <row r="494" spans="15:15" ht="12.75">
      <c r="O494" s="37"/>
    </row>
    <row r="495" spans="15:15" ht="12.75">
      <c r="O495" s="37"/>
    </row>
    <row r="496" spans="15:15" ht="12.75">
      <c r="O496" s="37"/>
    </row>
    <row r="497" spans="15:15" ht="12.75">
      <c r="O497" s="37"/>
    </row>
    <row r="498" spans="15:15" ht="12.75">
      <c r="O498" s="37"/>
    </row>
    <row r="499" spans="15:15" ht="12.75">
      <c r="O499" s="37"/>
    </row>
    <row r="500" spans="15:15" ht="12.75">
      <c r="O500" s="37"/>
    </row>
    <row r="501" spans="15:15" ht="12.75">
      <c r="O501" s="37"/>
    </row>
    <row r="502" spans="15:15" ht="12.75">
      <c r="O502" s="37"/>
    </row>
    <row r="503" spans="15:15" ht="12.75">
      <c r="O503" s="37"/>
    </row>
    <row r="504" spans="15:15" ht="12.75">
      <c r="O504" s="37"/>
    </row>
    <row r="505" spans="15:15" ht="12.75">
      <c r="O505" s="37"/>
    </row>
    <row r="506" spans="15:15" ht="12.75">
      <c r="O506" s="37"/>
    </row>
    <row r="507" spans="15:15" ht="12.75">
      <c r="O507" s="37"/>
    </row>
    <row r="508" spans="15:15" ht="12.75">
      <c r="O508" s="37"/>
    </row>
    <row r="509" spans="15:15" ht="12.75">
      <c r="O509" s="37"/>
    </row>
    <row r="510" spans="15:15" ht="12.75">
      <c r="O510" s="37"/>
    </row>
    <row r="511" spans="15:15" ht="12.75">
      <c r="O511" s="37"/>
    </row>
    <row r="512" spans="15:15" ht="12.75">
      <c r="O512" s="37"/>
    </row>
    <row r="513" spans="15:15" ht="12.75">
      <c r="O513" s="37"/>
    </row>
    <row r="514" spans="15:15" ht="12.75">
      <c r="O514" s="37"/>
    </row>
    <row r="515" spans="15:15" ht="12.75">
      <c r="O515" s="37"/>
    </row>
    <row r="516" spans="15:15" ht="12.75">
      <c r="O516" s="37"/>
    </row>
    <row r="517" spans="15:15" ht="12.75">
      <c r="O517" s="37"/>
    </row>
    <row r="518" spans="15:15" ht="12.75">
      <c r="O518" s="37"/>
    </row>
    <row r="519" spans="15:15" ht="12.75">
      <c r="O519" s="37"/>
    </row>
    <row r="520" spans="15:15" ht="12.75">
      <c r="O520" s="37"/>
    </row>
    <row r="521" spans="15:15" ht="12.75">
      <c r="O521" s="37"/>
    </row>
    <row r="522" spans="15:15" ht="12.75">
      <c r="O522" s="37"/>
    </row>
    <row r="523" spans="15:15" ht="12.75">
      <c r="O523" s="37"/>
    </row>
    <row r="524" spans="15:15" ht="12.75">
      <c r="O524" s="37"/>
    </row>
    <row r="525" spans="15:15" ht="12.75">
      <c r="O525" s="37"/>
    </row>
    <row r="526" spans="15:15" ht="12.75">
      <c r="O526" s="37"/>
    </row>
    <row r="527" spans="15:15" ht="12.75">
      <c r="O527" s="37"/>
    </row>
    <row r="528" spans="15:15" ht="12.75">
      <c r="O528" s="37"/>
    </row>
    <row r="529" spans="15:15" ht="12.75">
      <c r="O529" s="37"/>
    </row>
    <row r="530" spans="15:15" ht="12.75">
      <c r="O530" s="37"/>
    </row>
    <row r="531" spans="15:15" ht="12.75">
      <c r="O531" s="37"/>
    </row>
    <row r="532" spans="15:15" ht="12.75">
      <c r="O532" s="37"/>
    </row>
    <row r="533" spans="15:15" ht="12.75">
      <c r="O533" s="37"/>
    </row>
    <row r="534" spans="15:15" ht="12.75">
      <c r="O534" s="37"/>
    </row>
    <row r="535" spans="15:15" ht="12.75">
      <c r="O535" s="37"/>
    </row>
    <row r="536" spans="15:15" ht="12.75">
      <c r="O536" s="37"/>
    </row>
    <row r="537" spans="15:15" ht="12.75">
      <c r="O537" s="37"/>
    </row>
    <row r="538" spans="15:15" ht="12.75">
      <c r="O538" s="37"/>
    </row>
    <row r="539" spans="15:15" ht="12.75">
      <c r="O539" s="37"/>
    </row>
    <row r="540" spans="15:15" ht="12.75">
      <c r="O540" s="37"/>
    </row>
    <row r="541" spans="15:15" ht="12.75">
      <c r="O541" s="37"/>
    </row>
    <row r="542" spans="15:15" ht="12.75">
      <c r="O542" s="37"/>
    </row>
    <row r="543" spans="15:15" ht="12.75">
      <c r="O543" s="37"/>
    </row>
    <row r="544" spans="15:15" ht="12.75">
      <c r="O544" s="37"/>
    </row>
    <row r="545" spans="15:15" ht="12.75">
      <c r="O545" s="37"/>
    </row>
    <row r="546" spans="15:15" ht="12.75">
      <c r="O546" s="37"/>
    </row>
    <row r="547" spans="15:15" ht="12.75">
      <c r="O547" s="37"/>
    </row>
    <row r="548" spans="15:15" ht="12.75">
      <c r="O548" s="37"/>
    </row>
    <row r="549" spans="15:15" ht="12.75">
      <c r="O549" s="37"/>
    </row>
    <row r="550" spans="15:15" ht="12.75">
      <c r="O550" s="37"/>
    </row>
    <row r="551" spans="15:15" ht="12.75">
      <c r="O551" s="37"/>
    </row>
    <row r="552" spans="15:15" ht="12.75">
      <c r="O552" s="37"/>
    </row>
    <row r="553" spans="15:15" ht="12.75">
      <c r="O553" s="37"/>
    </row>
    <row r="554" spans="15:15" ht="12.75">
      <c r="O554" s="37"/>
    </row>
    <row r="555" spans="15:15" ht="12.75">
      <c r="O555" s="37"/>
    </row>
    <row r="556" spans="15:15" ht="12.75">
      <c r="O556" s="37"/>
    </row>
    <row r="557" spans="15:15" ht="12.75">
      <c r="O557" s="37"/>
    </row>
    <row r="558" spans="15:15" ht="12.75">
      <c r="O558" s="37"/>
    </row>
    <row r="559" spans="15:15" ht="12.75">
      <c r="O559" s="37"/>
    </row>
    <row r="560" spans="15:15" ht="12.75">
      <c r="O560" s="37"/>
    </row>
    <row r="561" spans="15:15" ht="12.75">
      <c r="O561" s="37"/>
    </row>
    <row r="562" spans="15:15" ht="12.75">
      <c r="O562" s="37"/>
    </row>
    <row r="563" spans="15:15" ht="12.75">
      <c r="O563" s="37"/>
    </row>
    <row r="564" spans="15:15" ht="12.75">
      <c r="O564" s="37"/>
    </row>
    <row r="565" spans="15:15" ht="12.75">
      <c r="O565" s="37"/>
    </row>
    <row r="566" spans="15:15" ht="12.75">
      <c r="O566" s="37"/>
    </row>
    <row r="567" spans="15:15" ht="12.75">
      <c r="O567" s="37"/>
    </row>
    <row r="568" spans="15:15" ht="12.75">
      <c r="O568" s="37"/>
    </row>
    <row r="569" spans="15:15" ht="12.75">
      <c r="O569" s="37"/>
    </row>
    <row r="570" spans="15:15" ht="12.75">
      <c r="O570" s="37"/>
    </row>
    <row r="571" spans="15:15" ht="12.75">
      <c r="O571" s="37"/>
    </row>
    <row r="572" spans="15:15" ht="12.75">
      <c r="O572" s="37"/>
    </row>
    <row r="573" spans="15:15" ht="12.75">
      <c r="O573" s="37"/>
    </row>
    <row r="574" spans="15:15" ht="12.75">
      <c r="O574" s="37"/>
    </row>
    <row r="575" spans="15:15" ht="12.75">
      <c r="O575" s="37"/>
    </row>
    <row r="576" spans="15:15" ht="12.75">
      <c r="O576" s="37"/>
    </row>
    <row r="577" spans="15:15" ht="12.75">
      <c r="O577" s="37"/>
    </row>
    <row r="578" spans="15:15" ht="12.75">
      <c r="O578" s="37"/>
    </row>
    <row r="579" spans="15:15" ht="12.75">
      <c r="O579" s="37"/>
    </row>
    <row r="580" spans="15:15" ht="12.75">
      <c r="O580" s="37"/>
    </row>
    <row r="581" spans="15:15" ht="12.75">
      <c r="O581" s="37"/>
    </row>
    <row r="582" spans="15:15" ht="12.75">
      <c r="O582" s="37"/>
    </row>
    <row r="583" spans="15:15" ht="12.75">
      <c r="O583" s="37"/>
    </row>
    <row r="584" spans="15:15" ht="12.75">
      <c r="O584" s="37"/>
    </row>
    <row r="585" spans="15:15" ht="12.75">
      <c r="O585" s="37"/>
    </row>
    <row r="586" spans="15:15" ht="12.75">
      <c r="O586" s="37"/>
    </row>
    <row r="587" spans="15:15" ht="12.75">
      <c r="O587" s="37"/>
    </row>
    <row r="588" spans="15:15" ht="12.75">
      <c r="O588" s="37"/>
    </row>
    <row r="589" spans="15:15" ht="12.75">
      <c r="O589" s="37"/>
    </row>
    <row r="590" spans="15:15" ht="12.75">
      <c r="O590" s="37"/>
    </row>
    <row r="591" spans="15:15" ht="12.75">
      <c r="O591" s="37"/>
    </row>
    <row r="592" spans="15:15" ht="12.75">
      <c r="O592" s="37"/>
    </row>
    <row r="593" spans="15:15" ht="12.75">
      <c r="O593" s="37"/>
    </row>
    <row r="594" spans="15:15" ht="12.75">
      <c r="O594" s="37"/>
    </row>
    <row r="595" spans="15:15" ht="12.75">
      <c r="O595" s="37"/>
    </row>
    <row r="596" spans="15:15" ht="12.75">
      <c r="O596" s="37"/>
    </row>
    <row r="597" spans="15:15" ht="12.75">
      <c r="O597" s="37"/>
    </row>
    <row r="598" spans="15:15" ht="12.75">
      <c r="O598" s="37"/>
    </row>
    <row r="599" spans="15:15" ht="12.75">
      <c r="O599" s="37"/>
    </row>
    <row r="600" spans="15:15" ht="12.75">
      <c r="O600" s="37"/>
    </row>
    <row r="601" spans="15:15" ht="12.75">
      <c r="O601" s="37"/>
    </row>
    <row r="602" spans="15:15" ht="12.75">
      <c r="O602" s="37"/>
    </row>
    <row r="603" spans="15:15" ht="12.75">
      <c r="O603" s="37"/>
    </row>
    <row r="604" spans="15:15" ht="12.75">
      <c r="O604" s="37"/>
    </row>
    <row r="605" spans="15:15" ht="12.75">
      <c r="O605" s="37"/>
    </row>
    <row r="606" spans="15:15" ht="12.75">
      <c r="O606" s="37"/>
    </row>
    <row r="607" spans="15:15" ht="12.75">
      <c r="O607" s="37"/>
    </row>
    <row r="608" spans="15:15" ht="12.75">
      <c r="O608" s="37"/>
    </row>
    <row r="609" spans="15:15" ht="12.75">
      <c r="O609" s="37"/>
    </row>
    <row r="610" spans="15:15" ht="12.75">
      <c r="O610" s="37"/>
    </row>
    <row r="611" spans="15:15" ht="12.75">
      <c r="O611" s="37"/>
    </row>
    <row r="612" spans="15:15" ht="12.75">
      <c r="O612" s="37"/>
    </row>
    <row r="613" spans="15:15" ht="12.75">
      <c r="O613" s="37"/>
    </row>
    <row r="614" spans="15:15" ht="12.75">
      <c r="O614" s="37"/>
    </row>
    <row r="615" spans="15:15" ht="12.75">
      <c r="O615" s="37"/>
    </row>
    <row r="616" spans="15:15" ht="12.75">
      <c r="O616" s="37"/>
    </row>
    <row r="617" spans="15:15" ht="12.75">
      <c r="O617" s="37"/>
    </row>
    <row r="618" spans="15:15" ht="12.75">
      <c r="O618" s="37"/>
    </row>
    <row r="619" spans="15:15" ht="12.75">
      <c r="O619" s="37"/>
    </row>
    <row r="620" spans="15:15" ht="12.75">
      <c r="O620" s="37"/>
    </row>
    <row r="621" spans="15:15" ht="12.75">
      <c r="O621" s="37"/>
    </row>
    <row r="622" spans="15:15" ht="12.75">
      <c r="O622" s="37"/>
    </row>
    <row r="623" spans="15:15" ht="12.75">
      <c r="O623" s="37"/>
    </row>
    <row r="624" spans="15:15" ht="12.75">
      <c r="O624" s="37"/>
    </row>
    <row r="625" spans="15:15" ht="12.75">
      <c r="O625" s="37"/>
    </row>
    <row r="626" spans="15:15" ht="12.75">
      <c r="O626" s="37"/>
    </row>
    <row r="627" spans="15:15" ht="12.75">
      <c r="O627" s="37"/>
    </row>
    <row r="628" spans="15:15" ht="12.75">
      <c r="O628" s="37"/>
    </row>
    <row r="629" spans="15:15" ht="12.75">
      <c r="O629" s="37"/>
    </row>
    <row r="630" spans="15:15" ht="12.75">
      <c r="O630" s="37"/>
    </row>
    <row r="631" spans="15:15" ht="12.75">
      <c r="O631" s="37"/>
    </row>
    <row r="632" spans="15:15" ht="12.75">
      <c r="O632" s="37"/>
    </row>
    <row r="633" spans="15:15" ht="12.75">
      <c r="O633" s="37"/>
    </row>
    <row r="634" spans="15:15" ht="12.75">
      <c r="O634" s="37"/>
    </row>
    <row r="635" spans="15:15" ht="12.75">
      <c r="O635" s="37"/>
    </row>
    <row r="636" spans="15:15" ht="12.75">
      <c r="O636" s="37"/>
    </row>
    <row r="637" spans="15:15" ht="12.75">
      <c r="O637" s="37"/>
    </row>
    <row r="638" spans="15:15" ht="12.75">
      <c r="O638" s="37"/>
    </row>
    <row r="639" spans="15:15" ht="12.75">
      <c r="O639" s="37"/>
    </row>
    <row r="640" spans="15:15" ht="12.75">
      <c r="O640" s="37"/>
    </row>
    <row r="641" spans="15:15" ht="12.75">
      <c r="O641" s="37"/>
    </row>
    <row r="642" spans="15:15" ht="12.75">
      <c r="O642" s="37"/>
    </row>
    <row r="643" spans="15:15" ht="12.75">
      <c r="O643" s="37"/>
    </row>
    <row r="644" spans="15:15" ht="12.75">
      <c r="O644" s="37"/>
    </row>
    <row r="645" spans="15:15" ht="12.75">
      <c r="O645" s="37"/>
    </row>
    <row r="646" spans="15:15" ht="12.75">
      <c r="O646" s="37"/>
    </row>
    <row r="647" spans="15:15" ht="12.75">
      <c r="O647" s="37"/>
    </row>
    <row r="648" spans="15:15" ht="12.75">
      <c r="O648" s="37"/>
    </row>
    <row r="649" spans="15:15" ht="12.75">
      <c r="O649" s="37"/>
    </row>
    <row r="650" spans="15:15" ht="12.75">
      <c r="O650" s="37"/>
    </row>
    <row r="651" spans="15:15" ht="12.75">
      <c r="O651" s="37"/>
    </row>
    <row r="652" spans="15:15" ht="12.75">
      <c r="O652" s="37"/>
    </row>
    <row r="653" spans="15:15" ht="12.75">
      <c r="O653" s="37"/>
    </row>
    <row r="654" spans="15:15" ht="12.75">
      <c r="O654" s="37"/>
    </row>
    <row r="655" spans="15:15" ht="12.75">
      <c r="O655" s="37"/>
    </row>
    <row r="656" spans="15:15" ht="12.75">
      <c r="O656" s="37"/>
    </row>
    <row r="657" spans="15:15" ht="12.75">
      <c r="O657" s="37"/>
    </row>
    <row r="658" spans="15:15" ht="12.75">
      <c r="O658" s="37"/>
    </row>
    <row r="659" spans="15:15" ht="12.75">
      <c r="O659" s="37"/>
    </row>
    <row r="660" spans="15:15" ht="12.75">
      <c r="O660" s="37"/>
    </row>
    <row r="661" spans="15:15" ht="12.75">
      <c r="O661" s="37"/>
    </row>
    <row r="662" spans="15:15" ht="12.75">
      <c r="O662" s="37"/>
    </row>
    <row r="663" spans="15:15" ht="12.75">
      <c r="O663" s="37"/>
    </row>
    <row r="664" spans="15:15" ht="12.75">
      <c r="O664" s="37"/>
    </row>
    <row r="665" spans="15:15" ht="12.75">
      <c r="O665" s="37"/>
    </row>
    <row r="666" spans="15:15" ht="12.75">
      <c r="O666" s="37"/>
    </row>
    <row r="667" spans="15:15" ht="12.75">
      <c r="O667" s="37"/>
    </row>
    <row r="668" spans="15:15" ht="12.75">
      <c r="O668" s="37"/>
    </row>
    <row r="669" spans="15:15" ht="12.75">
      <c r="O669" s="37"/>
    </row>
    <row r="670" spans="15:15" ht="12.75">
      <c r="O670" s="37"/>
    </row>
    <row r="671" spans="15:15" ht="12.75">
      <c r="O671" s="37"/>
    </row>
    <row r="672" spans="15:15" ht="12.75">
      <c r="O672" s="37"/>
    </row>
    <row r="673" spans="15:15" ht="12.75">
      <c r="O673" s="37"/>
    </row>
    <row r="674" spans="15:15" ht="12.75">
      <c r="O674" s="37"/>
    </row>
    <row r="675" spans="15:15" ht="12.75">
      <c r="O675" s="37"/>
    </row>
    <row r="676" spans="15:15" ht="12.75">
      <c r="O676" s="37"/>
    </row>
    <row r="677" spans="15:15" ht="12.75">
      <c r="O677" s="37"/>
    </row>
    <row r="678" spans="15:15" ht="12.75">
      <c r="O678" s="37"/>
    </row>
    <row r="679" spans="15:15" ht="12.75">
      <c r="O679" s="37"/>
    </row>
    <row r="680" spans="15:15" ht="12.75">
      <c r="O680" s="37"/>
    </row>
    <row r="681" spans="15:15" ht="12.75">
      <c r="O681" s="37"/>
    </row>
    <row r="682" spans="15:15" ht="12.75">
      <c r="O682" s="37"/>
    </row>
    <row r="683" spans="15:15" ht="12.75">
      <c r="O683" s="37"/>
    </row>
    <row r="684" spans="15:15" ht="12.75">
      <c r="O684" s="37"/>
    </row>
    <row r="685" spans="15:15" ht="12.75">
      <c r="O685" s="37"/>
    </row>
    <row r="686" spans="15:15" ht="12.75">
      <c r="O686" s="37"/>
    </row>
    <row r="687" spans="15:15" ht="12.75">
      <c r="O687" s="37"/>
    </row>
    <row r="688" spans="15:15" ht="12.75">
      <c r="O688" s="37"/>
    </row>
    <row r="689" spans="15:15" ht="12.75">
      <c r="O689" s="37"/>
    </row>
    <row r="690" spans="15:15" ht="12.75">
      <c r="O690" s="37"/>
    </row>
    <row r="691" spans="15:15" ht="12.75">
      <c r="O691" s="37"/>
    </row>
    <row r="692" spans="15:15" ht="12.75">
      <c r="O692" s="37"/>
    </row>
    <row r="693" spans="15:15" ht="12.75">
      <c r="O693" s="37"/>
    </row>
    <row r="694" spans="15:15" ht="12.75">
      <c r="O694" s="37"/>
    </row>
    <row r="695" spans="15:15" ht="12.75">
      <c r="O695" s="37"/>
    </row>
    <row r="696" spans="15:15" ht="12.75">
      <c r="O696" s="37"/>
    </row>
    <row r="697" spans="15:15" ht="12.75">
      <c r="O697" s="37"/>
    </row>
    <row r="698" spans="15:15" ht="12.75">
      <c r="O698" s="37"/>
    </row>
    <row r="699" spans="15:15" ht="12.75">
      <c r="O699" s="37"/>
    </row>
    <row r="700" spans="15:15" ht="12.75">
      <c r="O700" s="37"/>
    </row>
    <row r="701" spans="15:15" ht="12.75">
      <c r="O701" s="37"/>
    </row>
    <row r="702" spans="15:15" ht="12.75">
      <c r="O702" s="37"/>
    </row>
    <row r="703" spans="15:15" ht="12.75">
      <c r="O703" s="37"/>
    </row>
    <row r="704" spans="15:15" ht="12.75">
      <c r="O704" s="37"/>
    </row>
    <row r="705" spans="15:15" ht="12.75">
      <c r="O705" s="37"/>
    </row>
    <row r="706" spans="15:15" ht="12.75">
      <c r="O706" s="37"/>
    </row>
    <row r="707" spans="15:15" ht="12.75">
      <c r="O707" s="37"/>
    </row>
    <row r="708" spans="15:15" ht="12.75">
      <c r="O708" s="37"/>
    </row>
    <row r="709" spans="15:15" ht="12.75">
      <c r="O709" s="37"/>
    </row>
    <row r="710" spans="15:15" ht="12.75">
      <c r="O710" s="37"/>
    </row>
    <row r="711" spans="15:15" ht="12.75">
      <c r="O711" s="37"/>
    </row>
    <row r="712" spans="15:15" ht="12.75">
      <c r="O712" s="37"/>
    </row>
    <row r="713" spans="15:15" ht="12.75">
      <c r="O713" s="37"/>
    </row>
    <row r="714" spans="15:15" ht="12.75">
      <c r="O714" s="37"/>
    </row>
    <row r="715" spans="15:15" ht="12.75">
      <c r="O715" s="37"/>
    </row>
    <row r="716" spans="15:15" ht="12.75">
      <c r="O716" s="37"/>
    </row>
    <row r="717" spans="15:15" ht="12.75">
      <c r="O717" s="37"/>
    </row>
    <row r="718" spans="15:15" ht="12.75">
      <c r="O718" s="37"/>
    </row>
    <row r="719" spans="15:15" ht="12.75">
      <c r="O719" s="37"/>
    </row>
    <row r="720" spans="15:15" ht="12.75">
      <c r="O720" s="37"/>
    </row>
    <row r="721" spans="15:15" ht="12.75">
      <c r="O721" s="37"/>
    </row>
    <row r="722" spans="15:15" ht="12.75">
      <c r="O722" s="37"/>
    </row>
    <row r="723" spans="15:15" ht="12.75">
      <c r="O723" s="37"/>
    </row>
    <row r="724" spans="15:15" ht="12.75">
      <c r="O724" s="37"/>
    </row>
    <row r="725" spans="15:15" ht="12.75">
      <c r="O725" s="37"/>
    </row>
    <row r="726" spans="15:15" ht="12.75">
      <c r="O726" s="37"/>
    </row>
    <row r="727" spans="15:15" ht="12.75">
      <c r="O727" s="37"/>
    </row>
    <row r="728" spans="15:15" ht="12.75">
      <c r="O728" s="37"/>
    </row>
    <row r="729" spans="15:15" ht="12.75">
      <c r="O729" s="37"/>
    </row>
    <row r="730" spans="15:15" ht="12.75">
      <c r="O730" s="37"/>
    </row>
    <row r="731" spans="15:15" ht="12.75">
      <c r="O731" s="37"/>
    </row>
    <row r="732" spans="15:15" ht="12.75">
      <c r="O732" s="37"/>
    </row>
    <row r="733" spans="15:15" ht="12.75">
      <c r="O733" s="37"/>
    </row>
    <row r="734" spans="15:15" ht="12.75">
      <c r="O734" s="37"/>
    </row>
    <row r="735" spans="15:15" ht="12.75">
      <c r="O735" s="37"/>
    </row>
    <row r="736" spans="15:15" ht="12.75">
      <c r="O736" s="37"/>
    </row>
    <row r="737" spans="15:15" ht="12.75">
      <c r="O737" s="37"/>
    </row>
    <row r="738" spans="15:15" ht="12.75">
      <c r="O738" s="37"/>
    </row>
    <row r="739" spans="15:15" ht="12.75">
      <c r="O739" s="37"/>
    </row>
    <row r="740" spans="15:15" ht="12.75">
      <c r="O740" s="37"/>
    </row>
    <row r="741" spans="15:15" ht="12.75">
      <c r="O741" s="37"/>
    </row>
    <row r="742" spans="15:15" ht="12.75">
      <c r="O742" s="37"/>
    </row>
    <row r="743" spans="15:15" ht="12.75">
      <c r="O743" s="37"/>
    </row>
    <row r="744" spans="15:15" ht="12.75">
      <c r="O744" s="37"/>
    </row>
    <row r="745" spans="15:15" ht="12.75">
      <c r="O745" s="37"/>
    </row>
    <row r="746" spans="15:15" ht="12.75">
      <c r="O746" s="37"/>
    </row>
    <row r="747" spans="15:15" ht="12.75">
      <c r="O747" s="37"/>
    </row>
    <row r="748" spans="15:15" ht="12.75">
      <c r="O748" s="37"/>
    </row>
    <row r="749" spans="15:15" ht="12.75">
      <c r="O749" s="37"/>
    </row>
    <row r="750" spans="15:15" ht="12.75">
      <c r="O750" s="37"/>
    </row>
    <row r="751" spans="15:15" ht="12.75">
      <c r="O751" s="37"/>
    </row>
    <row r="752" spans="15:15" ht="12.75">
      <c r="O752" s="37"/>
    </row>
    <row r="753" spans="15:15" ht="12.75">
      <c r="O753" s="37"/>
    </row>
    <row r="754" spans="15:15" ht="12.75">
      <c r="O754" s="37"/>
    </row>
    <row r="755" spans="15:15" ht="12.75">
      <c r="O755" s="37"/>
    </row>
    <row r="756" spans="15:15" ht="12.75">
      <c r="O756" s="37"/>
    </row>
    <row r="757" spans="15:15" ht="12.75">
      <c r="O757" s="37"/>
    </row>
    <row r="758" spans="15:15" ht="12.75">
      <c r="O758" s="37"/>
    </row>
    <row r="759" spans="15:15" ht="12.75">
      <c r="O759" s="37"/>
    </row>
    <row r="760" spans="15:15" ht="12.75">
      <c r="O760" s="37"/>
    </row>
    <row r="761" spans="15:15" ht="12.75">
      <c r="O761" s="37"/>
    </row>
    <row r="762" spans="15:15" ht="12.75">
      <c r="O762" s="37"/>
    </row>
    <row r="763" spans="15:15" ht="12.75">
      <c r="O763" s="37"/>
    </row>
    <row r="764" spans="15:15" ht="12.75">
      <c r="O764" s="37"/>
    </row>
    <row r="765" spans="15:15" ht="12.75">
      <c r="O765" s="37"/>
    </row>
    <row r="766" spans="15:15" ht="12.75">
      <c r="O766" s="37"/>
    </row>
    <row r="767" spans="15:15" ht="12.75">
      <c r="O767" s="37"/>
    </row>
    <row r="768" spans="15:15" ht="12.75">
      <c r="O768" s="37"/>
    </row>
    <row r="769" spans="15:15" ht="12.75">
      <c r="O769" s="37"/>
    </row>
    <row r="770" spans="15:15" ht="12.75">
      <c r="O770" s="37"/>
    </row>
    <row r="771" spans="15:15" ht="12.75">
      <c r="O771" s="37"/>
    </row>
    <row r="772" spans="15:15" ht="12.75">
      <c r="O772" s="37"/>
    </row>
    <row r="773" spans="15:15" ht="12.75">
      <c r="O773" s="37"/>
    </row>
    <row r="774" spans="15:15" ht="12.75">
      <c r="O774" s="37"/>
    </row>
    <row r="775" spans="15:15" ht="12.75">
      <c r="O775" s="37"/>
    </row>
    <row r="776" spans="15:15" ht="12.75">
      <c r="O776" s="37"/>
    </row>
    <row r="777" spans="15:15" ht="12.75">
      <c r="O777" s="37"/>
    </row>
    <row r="778" spans="15:15" ht="12.75">
      <c r="O778" s="37"/>
    </row>
    <row r="779" spans="15:15" ht="12.75">
      <c r="O779" s="37"/>
    </row>
    <row r="780" spans="15:15" ht="12.75">
      <c r="O780" s="37"/>
    </row>
    <row r="781" spans="15:15" ht="12.75">
      <c r="O781" s="37"/>
    </row>
    <row r="782" spans="15:15" ht="12.75">
      <c r="O782" s="37"/>
    </row>
    <row r="783" spans="15:15" ht="12.75">
      <c r="O783" s="37"/>
    </row>
    <row r="784" spans="15:15" ht="12.75">
      <c r="O784" s="37"/>
    </row>
    <row r="785" spans="15:15" ht="12.75">
      <c r="O785" s="37"/>
    </row>
    <row r="786" spans="15:15" ht="12.75">
      <c r="O786" s="37"/>
    </row>
    <row r="787" spans="15:15" ht="12.75">
      <c r="O787" s="37"/>
    </row>
    <row r="788" spans="15:15" ht="12.75">
      <c r="O788" s="37"/>
    </row>
    <row r="789" spans="15:15" ht="12.75">
      <c r="O789" s="37"/>
    </row>
    <row r="790" spans="15:15" ht="12.75">
      <c r="O790" s="37"/>
    </row>
    <row r="791" spans="15:15" ht="12.75">
      <c r="O791" s="37"/>
    </row>
    <row r="792" spans="15:15" ht="12.75">
      <c r="O792" s="37"/>
    </row>
    <row r="793" spans="15:15" ht="12.75">
      <c r="O793" s="37"/>
    </row>
    <row r="794" spans="15:15" ht="12.75">
      <c r="O794" s="37"/>
    </row>
    <row r="795" spans="15:15" ht="12.75">
      <c r="O795" s="37"/>
    </row>
    <row r="796" spans="15:15" ht="12.75">
      <c r="O796" s="37"/>
    </row>
    <row r="797" spans="15:15" ht="12.75">
      <c r="O797" s="37"/>
    </row>
    <row r="798" spans="15:15" ht="12.75">
      <c r="O798" s="37"/>
    </row>
    <row r="799" spans="15:15" ht="12.75">
      <c r="O799" s="37"/>
    </row>
    <row r="800" spans="15:15" ht="12.75">
      <c r="O800" s="37"/>
    </row>
    <row r="801" spans="15:15" ht="12.75">
      <c r="O801" s="37"/>
    </row>
    <row r="802" spans="15:15" ht="12.75">
      <c r="O802" s="37"/>
    </row>
    <row r="803" spans="15:15" ht="12.75">
      <c r="O803" s="37"/>
    </row>
    <row r="804" spans="15:15" ht="12.75">
      <c r="O804" s="37"/>
    </row>
    <row r="805" spans="15:15" ht="12.75">
      <c r="O805" s="37"/>
    </row>
    <row r="806" spans="15:15" ht="12.75">
      <c r="O806" s="37"/>
    </row>
    <row r="807" spans="15:15" ht="12.75">
      <c r="O807" s="37"/>
    </row>
    <row r="808" spans="15:15" ht="12.75">
      <c r="O808" s="37"/>
    </row>
    <row r="809" spans="15:15" ht="12.75">
      <c r="O809" s="37"/>
    </row>
    <row r="810" spans="15:15" ht="12.75">
      <c r="O810" s="37"/>
    </row>
    <row r="811" spans="15:15" ht="12.75">
      <c r="O811" s="37"/>
    </row>
    <row r="812" spans="15:15" ht="12.75">
      <c r="O812" s="37"/>
    </row>
    <row r="813" spans="15:15" ht="12.75">
      <c r="O813" s="37"/>
    </row>
    <row r="814" spans="15:15" ht="12.75">
      <c r="O814" s="37"/>
    </row>
    <row r="815" spans="15:15" ht="12.75">
      <c r="O815" s="37"/>
    </row>
    <row r="816" spans="15:15" ht="12.75">
      <c r="O816" s="37"/>
    </row>
    <row r="817" spans="15:15" ht="12.75">
      <c r="O817" s="37"/>
    </row>
    <row r="818" spans="15:15" ht="12.75">
      <c r="O818" s="37"/>
    </row>
    <row r="819" spans="15:15" ht="12.75">
      <c r="O819" s="37"/>
    </row>
    <row r="820" spans="15:15" ht="12.75">
      <c r="O820" s="37"/>
    </row>
    <row r="821" spans="15:15" ht="12.75">
      <c r="O821" s="37"/>
    </row>
    <row r="822" spans="15:15" ht="12.75">
      <c r="O822" s="37"/>
    </row>
    <row r="823" spans="15:15" ht="12.75">
      <c r="O823" s="37"/>
    </row>
    <row r="824" spans="15:15" ht="12.75">
      <c r="O824" s="37"/>
    </row>
    <row r="825" spans="15:15" ht="12.75">
      <c r="O825" s="37"/>
    </row>
    <row r="826" spans="15:15" ht="12.75">
      <c r="O826" s="37"/>
    </row>
    <row r="827" spans="15:15" ht="12.75">
      <c r="O827" s="37"/>
    </row>
    <row r="828" spans="15:15" ht="12.75">
      <c r="O828" s="37"/>
    </row>
    <row r="829" spans="15:15" ht="12.75">
      <c r="O829" s="37"/>
    </row>
    <row r="830" spans="15:15" ht="12.75">
      <c r="O830" s="37"/>
    </row>
    <row r="831" spans="15:15" ht="12.75">
      <c r="O831" s="37"/>
    </row>
    <row r="832" spans="15:15" ht="12.75">
      <c r="O832" s="37"/>
    </row>
    <row r="833" spans="15:15" ht="12.75">
      <c r="O833" s="37"/>
    </row>
    <row r="834" spans="15:15" ht="12.75">
      <c r="O834" s="37"/>
    </row>
    <row r="835" spans="15:15" ht="12.75">
      <c r="O835" s="37"/>
    </row>
    <row r="836" spans="15:15" ht="12.75">
      <c r="O836" s="37"/>
    </row>
    <row r="837" spans="15:15" ht="12.75">
      <c r="O837" s="37"/>
    </row>
    <row r="838" spans="15:15" ht="12.75">
      <c r="O838" s="37"/>
    </row>
    <row r="839" spans="15:15" ht="12.75">
      <c r="O839" s="37"/>
    </row>
    <row r="840" spans="15:15" ht="12.75">
      <c r="O840" s="37"/>
    </row>
    <row r="841" spans="15:15" ht="12.75">
      <c r="O841" s="37"/>
    </row>
    <row r="842" spans="15:15" ht="12.75">
      <c r="O842" s="37"/>
    </row>
    <row r="843" spans="15:15" ht="12.75">
      <c r="O843" s="37"/>
    </row>
    <row r="844" spans="15:15" ht="12.75">
      <c r="O844" s="37"/>
    </row>
    <row r="845" spans="15:15" ht="12.75">
      <c r="O845" s="37"/>
    </row>
    <row r="846" spans="15:15" ht="12.75">
      <c r="O846" s="37"/>
    </row>
    <row r="847" spans="15:15" ht="12.75">
      <c r="O847" s="37"/>
    </row>
    <row r="848" spans="15:15" ht="12.75">
      <c r="O848" s="37"/>
    </row>
    <row r="849" spans="15:15" ht="12.75">
      <c r="O849" s="37"/>
    </row>
    <row r="850" spans="15:15" ht="12.75">
      <c r="O850" s="37"/>
    </row>
    <row r="851" spans="15:15" ht="12.75">
      <c r="O851" s="37"/>
    </row>
    <row r="852" spans="15:15" ht="12.75">
      <c r="O852" s="37"/>
    </row>
    <row r="853" spans="15:15" ht="12.75">
      <c r="O853" s="37"/>
    </row>
    <row r="854" spans="15:15" ht="12.75">
      <c r="O854" s="37"/>
    </row>
    <row r="855" spans="15:15" ht="12.75">
      <c r="O855" s="37"/>
    </row>
    <row r="856" spans="15:15" ht="12.75">
      <c r="O856" s="37"/>
    </row>
    <row r="857" spans="15:15" ht="12.75">
      <c r="O857" s="37"/>
    </row>
    <row r="858" spans="15:15" ht="12.75">
      <c r="O858" s="37"/>
    </row>
    <row r="859" spans="15:15" ht="12.75">
      <c r="O859" s="37"/>
    </row>
    <row r="860" spans="15:15" ht="12.75">
      <c r="O860" s="37"/>
    </row>
    <row r="861" spans="15:15" ht="12.75">
      <c r="O861" s="37"/>
    </row>
    <row r="862" spans="15:15" ht="12.75">
      <c r="O862" s="37"/>
    </row>
    <row r="863" spans="15:15" ht="12.75">
      <c r="O863" s="37"/>
    </row>
    <row r="864" spans="15:15" ht="12.75">
      <c r="O864" s="37"/>
    </row>
    <row r="865" spans="15:15" ht="12.75">
      <c r="O865" s="37"/>
    </row>
    <row r="866" spans="15:15" ht="12.75">
      <c r="O866" s="37"/>
    </row>
    <row r="867" spans="15:15" ht="12.75">
      <c r="O867" s="37"/>
    </row>
    <row r="868" spans="15:15" ht="12.75">
      <c r="O868" s="37"/>
    </row>
    <row r="869" spans="15:15" ht="12.75">
      <c r="O869" s="37"/>
    </row>
    <row r="870" spans="15:15" ht="12.75">
      <c r="O870" s="37"/>
    </row>
    <row r="871" spans="15:15" ht="12.75">
      <c r="O871" s="37"/>
    </row>
    <row r="872" spans="15:15" ht="12.75">
      <c r="O872" s="37"/>
    </row>
    <row r="873" spans="15:15" ht="12.75">
      <c r="O873" s="37"/>
    </row>
    <row r="874" spans="15:15" ht="12.75">
      <c r="O874" s="37"/>
    </row>
    <row r="875" spans="15:15" ht="12.75">
      <c r="O875" s="37"/>
    </row>
    <row r="876" spans="15:15" ht="12.75">
      <c r="O876" s="37"/>
    </row>
    <row r="877" spans="15:15" ht="12.75">
      <c r="O877" s="37"/>
    </row>
    <row r="878" spans="15:15" ht="12.75">
      <c r="O878" s="37"/>
    </row>
    <row r="879" spans="15:15" ht="12.75">
      <c r="O879" s="37"/>
    </row>
    <row r="880" spans="15:15" ht="12.75">
      <c r="O880" s="37"/>
    </row>
    <row r="881" spans="15:15" ht="12.75">
      <c r="O881" s="37"/>
    </row>
    <row r="882" spans="15:15" ht="12.75">
      <c r="O882" s="37"/>
    </row>
    <row r="883" spans="15:15" ht="12.75">
      <c r="O883" s="37"/>
    </row>
    <row r="884" spans="15:15" ht="12.75">
      <c r="O884" s="37"/>
    </row>
    <row r="885" spans="15:15" ht="12.75">
      <c r="O885" s="37"/>
    </row>
    <row r="886" spans="15:15" ht="12.75">
      <c r="O886" s="37"/>
    </row>
    <row r="887" spans="15:15" ht="12.75">
      <c r="O887" s="37"/>
    </row>
    <row r="888" spans="15:15" ht="12.75">
      <c r="O888" s="37"/>
    </row>
    <row r="889" spans="15:15" ht="12.75">
      <c r="O889" s="37"/>
    </row>
    <row r="890" spans="15:15" ht="12.75">
      <c r="O890" s="37"/>
    </row>
    <row r="891" spans="15:15" ht="12.75">
      <c r="O891" s="37"/>
    </row>
    <row r="892" spans="15:15" ht="12.75">
      <c r="O892" s="37"/>
    </row>
    <row r="893" spans="15:15" ht="12.75">
      <c r="O893" s="37"/>
    </row>
    <row r="894" spans="15:15" ht="12.75">
      <c r="O894" s="37"/>
    </row>
    <row r="895" spans="15:15" ht="12.75">
      <c r="O895" s="37"/>
    </row>
    <row r="896" spans="15:15" ht="12.75">
      <c r="O896" s="37"/>
    </row>
    <row r="897" spans="15:15" ht="12.75">
      <c r="O897" s="37"/>
    </row>
    <row r="898" spans="15:15" ht="12.75">
      <c r="O898" s="37"/>
    </row>
    <row r="899" spans="15:15" ht="12.75">
      <c r="O899" s="37"/>
    </row>
    <row r="900" spans="15:15" ht="12.75">
      <c r="O900" s="37"/>
    </row>
    <row r="901" spans="15:15" ht="12.75">
      <c r="O901" s="37"/>
    </row>
    <row r="902" spans="15:15" ht="12.75">
      <c r="O902" s="37"/>
    </row>
    <row r="903" spans="15:15" ht="12.75">
      <c r="O903" s="37"/>
    </row>
    <row r="904" spans="15:15" ht="12.75">
      <c r="O904" s="37"/>
    </row>
    <row r="905" spans="15:15" ht="12.75">
      <c r="O905" s="37"/>
    </row>
    <row r="906" spans="15:15" ht="12.75">
      <c r="O906" s="37"/>
    </row>
    <row r="907" spans="15:15" ht="12.75">
      <c r="O907" s="37"/>
    </row>
    <row r="908" spans="15:15" ht="12.75">
      <c r="O908" s="37"/>
    </row>
    <row r="909" spans="15:15" ht="12.75">
      <c r="O909" s="37"/>
    </row>
    <row r="910" spans="15:15" ht="12.75">
      <c r="O910" s="37"/>
    </row>
    <row r="911" spans="15:15" ht="12.75">
      <c r="O911" s="37"/>
    </row>
    <row r="912" spans="15:15" ht="12.75">
      <c r="O912" s="37"/>
    </row>
    <row r="913" spans="15:15" ht="12.75">
      <c r="O913" s="37"/>
    </row>
    <row r="914" spans="15:15" ht="12.75">
      <c r="O914" s="37"/>
    </row>
    <row r="915" spans="15:15" ht="12.75">
      <c r="O915" s="37"/>
    </row>
    <row r="916" spans="15:15" ht="12.75">
      <c r="O916" s="37"/>
    </row>
    <row r="917" spans="15:15" ht="12.75">
      <c r="O917" s="37"/>
    </row>
    <row r="918" spans="15:15" ht="12.75">
      <c r="O918" s="37"/>
    </row>
    <row r="919" spans="15:15" ht="12.75">
      <c r="O919" s="37"/>
    </row>
    <row r="920" spans="15:15" ht="12.75">
      <c r="O920" s="37"/>
    </row>
    <row r="921" spans="15:15" ht="12.75">
      <c r="O921" s="37"/>
    </row>
    <row r="922" spans="15:15" ht="12.75">
      <c r="O922" s="37"/>
    </row>
    <row r="923" spans="15:15" ht="12.75">
      <c r="O923" s="37"/>
    </row>
    <row r="924" spans="15:15" ht="12.75">
      <c r="O924" s="37"/>
    </row>
    <row r="925" spans="15:15" ht="12.75">
      <c r="O925" s="37"/>
    </row>
    <row r="926" spans="15:15" ht="12.75">
      <c r="O926" s="37"/>
    </row>
    <row r="927" spans="15:15" ht="12.75">
      <c r="O927" s="37"/>
    </row>
    <row r="928" spans="15:15" ht="12.75">
      <c r="O928" s="37"/>
    </row>
    <row r="929" spans="15:15" ht="12.75">
      <c r="O929" s="37"/>
    </row>
    <row r="930" spans="15:15" ht="12.75">
      <c r="O930" s="37"/>
    </row>
    <row r="931" spans="15:15" ht="12.75">
      <c r="O931" s="37"/>
    </row>
    <row r="932" spans="15:15" ht="12.75">
      <c r="O932" s="37"/>
    </row>
    <row r="933" spans="15:15" ht="12.75">
      <c r="O933" s="37"/>
    </row>
    <row r="934" spans="15:15" ht="12.75">
      <c r="O934" s="37"/>
    </row>
    <row r="935" spans="15:15" ht="12.75">
      <c r="O935" s="37"/>
    </row>
    <row r="936" spans="15:15" ht="12.75">
      <c r="O936" s="37"/>
    </row>
    <row r="937" spans="15:15" ht="12.75">
      <c r="O937" s="37"/>
    </row>
    <row r="938" spans="15:15" ht="12.75">
      <c r="O938" s="37"/>
    </row>
    <row r="939" spans="15:15" ht="12.75">
      <c r="O939" s="37"/>
    </row>
    <row r="940" spans="15:15" ht="12.75">
      <c r="O940" s="37"/>
    </row>
    <row r="941" spans="15:15" ht="12.75">
      <c r="O941" s="37"/>
    </row>
    <row r="942" spans="15:15" ht="12.75">
      <c r="O942" s="37"/>
    </row>
    <row r="943" spans="15:15" ht="12.75">
      <c r="O943" s="37"/>
    </row>
    <row r="944" spans="15:15" ht="12.75">
      <c r="O944" s="37"/>
    </row>
    <row r="945" spans="15:15" ht="12.75">
      <c r="O945" s="37"/>
    </row>
    <row r="946" spans="15:15" ht="12.75">
      <c r="O946" s="37"/>
    </row>
    <row r="947" spans="15:15" ht="12.75">
      <c r="O947" s="37"/>
    </row>
    <row r="948" spans="15:15" ht="12.75">
      <c r="O948" s="37"/>
    </row>
    <row r="949" spans="15:15" ht="12.75">
      <c r="O949" s="37"/>
    </row>
    <row r="950" spans="15:15" ht="12.75">
      <c r="O950" s="37"/>
    </row>
    <row r="951" spans="15:15" ht="12.75">
      <c r="O951" s="37"/>
    </row>
    <row r="952" spans="15:15" ht="12.75">
      <c r="O952" s="37"/>
    </row>
    <row r="953" spans="15:15" ht="12.75">
      <c r="O953" s="37"/>
    </row>
    <row r="954" spans="15:15" ht="12.75">
      <c r="O954" s="37"/>
    </row>
    <row r="955" spans="15:15" ht="12.75">
      <c r="O955" s="37"/>
    </row>
    <row r="956" spans="15:15" ht="12.75">
      <c r="O956" s="37"/>
    </row>
    <row r="957" spans="15:15" ht="12.75">
      <c r="O957" s="37"/>
    </row>
    <row r="958" spans="15:15" ht="12.75">
      <c r="O958" s="37"/>
    </row>
    <row r="959" spans="15:15" ht="12.75">
      <c r="O959" s="37"/>
    </row>
    <row r="960" spans="15:15" ht="12.75">
      <c r="O960" s="37"/>
    </row>
    <row r="961" spans="15:15" ht="12.75">
      <c r="O961" s="37"/>
    </row>
    <row r="962" spans="15:15" ht="12.75">
      <c r="O962" s="37"/>
    </row>
    <row r="963" spans="15:15" ht="12.75">
      <c r="O963" s="37"/>
    </row>
    <row r="964" spans="15:15" ht="12.75">
      <c r="O964" s="37"/>
    </row>
    <row r="965" spans="15:15" ht="12.75">
      <c r="O965" s="37"/>
    </row>
    <row r="966" spans="15:15" ht="12.75">
      <c r="O966" s="37"/>
    </row>
    <row r="967" spans="15:15" ht="12.75">
      <c r="O967" s="37"/>
    </row>
    <row r="968" spans="15:15" ht="12.75">
      <c r="O968" s="37"/>
    </row>
    <row r="969" spans="15:15" ht="12.75">
      <c r="O969" s="37"/>
    </row>
    <row r="970" spans="15:15" ht="12.75">
      <c r="O970" s="37"/>
    </row>
    <row r="971" spans="15:15" ht="12.75">
      <c r="O971" s="37"/>
    </row>
    <row r="972" spans="15:15" ht="12.75">
      <c r="O972" s="37"/>
    </row>
    <row r="973" spans="15:15" ht="12.75">
      <c r="O973" s="37"/>
    </row>
    <row r="974" spans="15:15" ht="12.75">
      <c r="O974" s="37"/>
    </row>
    <row r="975" spans="15:15" ht="12.75">
      <c r="O975" s="37"/>
    </row>
    <row r="976" spans="15:15" ht="12.75">
      <c r="O976" s="37"/>
    </row>
    <row r="977" spans="15:15" ht="12.75">
      <c r="O977" s="37"/>
    </row>
    <row r="978" spans="15:15" ht="12.75">
      <c r="O978" s="37"/>
    </row>
    <row r="979" spans="15:15" ht="12.75">
      <c r="O979" s="37"/>
    </row>
    <row r="980" spans="15:15" ht="12.75">
      <c r="O980" s="37"/>
    </row>
    <row r="981" spans="15:15" ht="12.75">
      <c r="O981" s="37"/>
    </row>
    <row r="982" spans="15:15" ht="12.75">
      <c r="O982" s="37"/>
    </row>
    <row r="983" spans="15:15" ht="12.75">
      <c r="O983" s="37"/>
    </row>
    <row r="984" spans="15:15" ht="12.75">
      <c r="O984" s="37"/>
    </row>
    <row r="985" spans="15:15" ht="12.75">
      <c r="O985" s="37"/>
    </row>
    <row r="986" spans="15:15" ht="12.75">
      <c r="O986" s="37"/>
    </row>
    <row r="987" spans="15:15" ht="12.75">
      <c r="O987" s="37"/>
    </row>
    <row r="988" spans="15:15" ht="12.75">
      <c r="O988" s="37"/>
    </row>
    <row r="989" spans="15:15" ht="12.75">
      <c r="O989" s="37"/>
    </row>
    <row r="990" spans="15:15" ht="12.75">
      <c r="O990" s="37"/>
    </row>
    <row r="991" spans="15:15" ht="12.75">
      <c r="O991" s="37"/>
    </row>
    <row r="992" spans="15:15" ht="12.75">
      <c r="O992" s="37"/>
    </row>
    <row r="993" spans="15:15" ht="12.75">
      <c r="O993" s="37"/>
    </row>
    <row r="994" spans="15:15" ht="12.75">
      <c r="O994" s="37"/>
    </row>
    <row r="995" spans="15:15" ht="12.75">
      <c r="O995" s="37"/>
    </row>
    <row r="996" spans="15:15" ht="12.75">
      <c r="O996" s="37"/>
    </row>
    <row r="997" spans="15:15" ht="12.75">
      <c r="O997" s="37"/>
    </row>
    <row r="998" spans="15:15" ht="12.75">
      <c r="O998" s="37"/>
    </row>
    <row r="999" spans="15:15" ht="12.75">
      <c r="O999" s="37"/>
    </row>
    <row r="1000" spans="15:15" ht="12.75">
      <c r="O1000" s="37"/>
    </row>
    <row r="1001" spans="15:15" ht="12.75">
      <c r="O1001" s="37"/>
    </row>
    <row r="1002" spans="15:15" ht="12.75">
      <c r="O1002" s="3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O234"/>
  <sheetViews>
    <sheetView topLeftCell="L1" workbookViewId="0">
      <selection activeCell="AO14" sqref="AO14"/>
    </sheetView>
  </sheetViews>
  <sheetFormatPr defaultColWidth="12.5703125" defaultRowHeight="15.75" customHeight="1"/>
  <cols>
    <col min="1" max="2" width="25.42578125" customWidth="1"/>
  </cols>
  <sheetData>
    <row r="1" spans="1:41" ht="15.75" customHeight="1">
      <c r="A1" s="40" t="s">
        <v>325</v>
      </c>
      <c r="H1" s="39" t="s">
        <v>148</v>
      </c>
      <c r="I1" s="40"/>
      <c r="J1" s="40"/>
      <c r="K1" s="40"/>
      <c r="M1" s="40" t="s">
        <v>143</v>
      </c>
      <c r="N1" s="40"/>
      <c r="O1" s="40"/>
      <c r="P1" s="40"/>
      <c r="R1" s="40" t="s">
        <v>147</v>
      </c>
      <c r="S1" s="40"/>
      <c r="T1" s="40"/>
      <c r="U1" s="40"/>
      <c r="W1" s="40" t="s">
        <v>144</v>
      </c>
      <c r="X1" s="40"/>
      <c r="Y1" s="40"/>
      <c r="Z1" s="40"/>
      <c r="AB1" s="40" t="s">
        <v>150</v>
      </c>
      <c r="AC1" s="40"/>
      <c r="AD1" s="40"/>
      <c r="AE1" s="40"/>
      <c r="AG1" s="40" t="s">
        <v>145</v>
      </c>
      <c r="AH1" s="40"/>
      <c r="AI1" s="40"/>
      <c r="AJ1" s="40"/>
      <c r="AL1" s="40" t="s">
        <v>155</v>
      </c>
      <c r="AM1" s="40"/>
      <c r="AN1" s="40"/>
      <c r="AO1" s="40"/>
    </row>
    <row r="2" spans="1:41" s="40" customFormat="1">
      <c r="A2" s="39" t="s">
        <v>1</v>
      </c>
      <c r="B2" s="39" t="s">
        <v>2</v>
      </c>
      <c r="C2" s="39" t="s">
        <v>139</v>
      </c>
      <c r="D2" s="39" t="s">
        <v>141</v>
      </c>
      <c r="E2" s="39" t="s">
        <v>142</v>
      </c>
      <c r="H2" s="40" t="s">
        <v>324</v>
      </c>
      <c r="I2" s="40" t="s">
        <v>6</v>
      </c>
      <c r="J2" s="40" t="s">
        <v>26</v>
      </c>
      <c r="K2" s="40" t="s">
        <v>7</v>
      </c>
      <c r="M2" s="40" t="s">
        <v>324</v>
      </c>
      <c r="N2" s="40" t="s">
        <v>6</v>
      </c>
      <c r="O2" s="40" t="s">
        <v>26</v>
      </c>
      <c r="P2" s="40" t="s">
        <v>7</v>
      </c>
      <c r="R2" s="40" t="s">
        <v>324</v>
      </c>
      <c r="S2" s="40" t="s">
        <v>6</v>
      </c>
      <c r="T2" s="40" t="s">
        <v>26</v>
      </c>
      <c r="U2" s="40" t="s">
        <v>7</v>
      </c>
      <c r="W2" s="40" t="s">
        <v>324</v>
      </c>
      <c r="X2" s="40" t="s">
        <v>6</v>
      </c>
      <c r="Y2" s="40" t="s">
        <v>26</v>
      </c>
      <c r="Z2" s="40" t="s">
        <v>7</v>
      </c>
      <c r="AB2" s="40" t="s">
        <v>324</v>
      </c>
      <c r="AC2" s="40" t="s">
        <v>6</v>
      </c>
      <c r="AD2" s="40" t="s">
        <v>26</v>
      </c>
      <c r="AE2" s="40" t="s">
        <v>7</v>
      </c>
      <c r="AG2" s="40" t="s">
        <v>324</v>
      </c>
      <c r="AH2" s="40" t="s">
        <v>6</v>
      </c>
      <c r="AI2" s="40" t="s">
        <v>26</v>
      </c>
      <c r="AJ2" s="40" t="s">
        <v>7</v>
      </c>
      <c r="AL2" s="40" t="s">
        <v>324</v>
      </c>
      <c r="AM2" s="40" t="s">
        <v>6</v>
      </c>
      <c r="AN2" s="40" t="s">
        <v>26</v>
      </c>
      <c r="AO2" s="40" t="s">
        <v>7</v>
      </c>
    </row>
    <row r="3" spans="1:41">
      <c r="A3" s="2" t="s">
        <v>40</v>
      </c>
      <c r="B3" s="2" t="s">
        <v>143</v>
      </c>
      <c r="C3" s="2">
        <f>VLOOKUP($A3,'Estimates of the use of water ('!$A:$Q,5,FALSE)</f>
        <v>2.7503264880000002</v>
      </c>
      <c r="D3" s="2">
        <f>VLOOKUP($A3,'Estimates of the use of water ('!$A:$Q,6,FALSE)</f>
        <v>34413.601560000003</v>
      </c>
      <c r="E3" s="2">
        <f>VLOOKUP($A3,'Estimates of the use of water ('!$A:$Q,17,FALSE)</f>
        <v>2.6678826380000005</v>
      </c>
      <c r="H3" t="s">
        <v>47</v>
      </c>
      <c r="I3">
        <v>0.57016185399999997</v>
      </c>
      <c r="J3">
        <v>0.21877144200000001</v>
      </c>
      <c r="K3">
        <v>27884.380860000001</v>
      </c>
      <c r="M3" t="s">
        <v>40</v>
      </c>
      <c r="N3">
        <v>2.7503264879999998</v>
      </c>
      <c r="O3">
        <v>2.667882638</v>
      </c>
      <c r="P3">
        <v>34413.601560000003</v>
      </c>
      <c r="R3" t="s">
        <v>53</v>
      </c>
      <c r="S3">
        <v>-3.8770000000454297E-5</v>
      </c>
      <c r="T3">
        <v>0</v>
      </c>
      <c r="U3">
        <v>23932.498049999998</v>
      </c>
      <c r="W3" t="s">
        <v>42</v>
      </c>
      <c r="X3">
        <v>0.334742698000002</v>
      </c>
      <c r="Y3">
        <v>0.69281669000000101</v>
      </c>
      <c r="Z3">
        <v>2890.5239259999998</v>
      </c>
      <c r="AB3" t="s">
        <v>62</v>
      </c>
      <c r="AC3">
        <v>0.245271930000001</v>
      </c>
      <c r="AD3">
        <v>0.468275104</v>
      </c>
      <c r="AE3">
        <v>360.92599489999998</v>
      </c>
      <c r="AG3" t="s">
        <v>43</v>
      </c>
      <c r="AH3">
        <v>0.20555368599999899</v>
      </c>
      <c r="AI3">
        <v>0.33696620999999999</v>
      </c>
      <c r="AJ3">
        <v>39728.019529999998</v>
      </c>
      <c r="AL3" t="s">
        <v>78</v>
      </c>
      <c r="AM3">
        <v>-1.48214600000074E-3</v>
      </c>
      <c r="AN3">
        <v>4.8860164000001302E-2</v>
      </c>
      <c r="AO3">
        <v>36026.667970000002</v>
      </c>
    </row>
    <row r="4" spans="1:41">
      <c r="A4" s="2" t="s">
        <v>42</v>
      </c>
      <c r="B4" s="2" t="s">
        <v>144</v>
      </c>
      <c r="C4" s="2">
        <f>VLOOKUP($A4,'Estimates of the use of water ('!$A:$Q,5,FALSE)</f>
        <v>0.33474269800000228</v>
      </c>
      <c r="D4" s="2">
        <f>VLOOKUP($A4,'Estimates of the use of water ('!$A:$Q,6,FALSE)</f>
        <v>2890.5239259999998</v>
      </c>
      <c r="E4" s="2">
        <f>VLOOKUP($A4,'Estimates of the use of water ('!$A:$Q,17,FALSE)</f>
        <v>0.69281669000000079</v>
      </c>
      <c r="H4" t="s">
        <v>63</v>
      </c>
      <c r="I4">
        <v>0.125460138</v>
      </c>
      <c r="J4">
        <v>0.253583103999999</v>
      </c>
      <c r="K4">
        <v>10575.96191</v>
      </c>
      <c r="M4" t="s">
        <v>58</v>
      </c>
      <c r="N4">
        <v>0.119271555999998</v>
      </c>
      <c r="O4">
        <v>0.22144529599999899</v>
      </c>
      <c r="P4">
        <v>156256.2813</v>
      </c>
      <c r="R4" t="s">
        <v>76</v>
      </c>
      <c r="S4">
        <v>0.55520720199999996</v>
      </c>
      <c r="T4">
        <v>0.47120782999999999</v>
      </c>
      <c r="U4">
        <v>15521.434569999999</v>
      </c>
      <c r="W4" t="s">
        <v>46</v>
      </c>
      <c r="X4">
        <v>1.2299999980314199E-6</v>
      </c>
      <c r="Y4">
        <v>0</v>
      </c>
      <c r="Z4">
        <v>77.992996219999995</v>
      </c>
      <c r="AB4" t="s">
        <v>66</v>
      </c>
      <c r="AC4">
        <v>0.58558612399999999</v>
      </c>
      <c r="AD4">
        <v>1.2392925260000001</v>
      </c>
      <c r="AE4">
        <v>10869.73242</v>
      </c>
      <c r="AG4" t="s">
        <v>105</v>
      </c>
      <c r="AH4">
        <v>6.6691683999999904E-2</v>
      </c>
      <c r="AI4">
        <v>0.10619144599999999</v>
      </c>
      <c r="AJ4">
        <v>92442.546879999994</v>
      </c>
      <c r="AL4" t="s">
        <v>126</v>
      </c>
      <c r="AM4">
        <v>3.3999999971001697E-7</v>
      </c>
      <c r="AN4">
        <v>0</v>
      </c>
      <c r="AO4">
        <v>56.377998349999999</v>
      </c>
    </row>
    <row r="5" spans="1:41">
      <c r="A5" s="2" t="s">
        <v>43</v>
      </c>
      <c r="B5" s="2" t="s">
        <v>145</v>
      </c>
      <c r="C5" s="2">
        <f>VLOOKUP($A5,'Estimates of the use of water ('!$A:$Q,5,FALSE)</f>
        <v>0.20555368599999896</v>
      </c>
      <c r="D5" s="2">
        <f>VLOOKUP($A5,'Estimates of the use of water ('!$A:$Q,6,FALSE)</f>
        <v>39728.019529999998</v>
      </c>
      <c r="E5" s="2">
        <f>VLOOKUP($A5,'Estimates of the use of water ('!$A:$Q,17,FALSE)</f>
        <v>0.33696620999999993</v>
      </c>
      <c r="H5" t="s">
        <v>68</v>
      </c>
      <c r="I5">
        <v>0.75345470800000103</v>
      </c>
      <c r="J5">
        <v>1.430238006</v>
      </c>
      <c r="K5">
        <v>2120.7160640000002</v>
      </c>
      <c r="M5" t="s">
        <v>65</v>
      </c>
      <c r="N5">
        <v>0.218360007999999</v>
      </c>
      <c r="O5">
        <v>0.31336613999999902</v>
      </c>
      <c r="P5">
        <v>727.88500980000003</v>
      </c>
      <c r="R5" t="s">
        <v>84</v>
      </c>
      <c r="S5">
        <v>0.49969387199999998</v>
      </c>
      <c r="T5">
        <v>1.0364091179999999</v>
      </c>
      <c r="U5">
        <v>1430405.375</v>
      </c>
      <c r="W5" t="s">
        <v>51</v>
      </c>
      <c r="X5">
        <v>8.3722797999999404E-2</v>
      </c>
      <c r="Y5">
        <v>0.189044146000001</v>
      </c>
      <c r="Z5">
        <v>2925.5590820000002</v>
      </c>
      <c r="AB5" t="s">
        <v>69</v>
      </c>
      <c r="AC5">
        <v>0.30345708000000099</v>
      </c>
      <c r="AD5">
        <v>1.4378462700000001</v>
      </c>
      <c r="AE5">
        <v>204471.76560000001</v>
      </c>
      <c r="AG5" t="s">
        <v>149</v>
      </c>
      <c r="AH5">
        <v>0.82246198999999898</v>
      </c>
      <c r="AI5">
        <v>2.0136873340000001</v>
      </c>
      <c r="AJ5">
        <v>35572.269529999998</v>
      </c>
      <c r="AL5" t="s">
        <v>272</v>
      </c>
      <c r="AM5">
        <v>8.7273784000001298E-2</v>
      </c>
      <c r="AN5">
        <v>0.37813376600000198</v>
      </c>
      <c r="AO5">
        <v>320878.3125</v>
      </c>
    </row>
    <row r="6" spans="1:41">
      <c r="A6" s="2" t="s">
        <v>44</v>
      </c>
      <c r="B6" s="2" t="s">
        <v>147</v>
      </c>
      <c r="C6" s="2">
        <f>VLOOKUP($A6,'Estimates of the use of water ('!$A:$Q,5,FALSE)</f>
        <v>3.0933701999998675E-2</v>
      </c>
      <c r="D6" s="2">
        <f>VLOOKUP($A6,'Estimates of the use of water ('!$A:$Q,6,FALSE)</f>
        <v>55.805999759999999</v>
      </c>
      <c r="E6" s="2" t="str">
        <f>VLOOKUP($A6,'Estimates of the use of water ('!$A:$Q,17,FALSE)</f>
        <v>null</v>
      </c>
      <c r="H6" t="s">
        <v>73</v>
      </c>
      <c r="I6">
        <v>-0.58445532600000005</v>
      </c>
      <c r="J6">
        <v>-1.2273809600000001</v>
      </c>
      <c r="K6">
        <v>18110.615229999999</v>
      </c>
      <c r="M6" t="s">
        <v>138</v>
      </c>
      <c r="N6">
        <v>0.470278479999999</v>
      </c>
      <c r="O6">
        <v>0.64210055600000004</v>
      </c>
      <c r="P6">
        <v>1310152.375</v>
      </c>
      <c r="R6" t="s">
        <v>98</v>
      </c>
      <c r="S6">
        <v>-0.27420773599999998</v>
      </c>
      <c r="T6">
        <v>-0.57266870800000003</v>
      </c>
      <c r="U6">
        <v>25183.832030000001</v>
      </c>
      <c r="W6" t="s">
        <v>54</v>
      </c>
      <c r="X6">
        <v>0</v>
      </c>
      <c r="Y6">
        <v>0</v>
      </c>
      <c r="Z6">
        <v>8678.6669920000004</v>
      </c>
      <c r="AB6" t="s">
        <v>83</v>
      </c>
      <c r="AC6">
        <v>9.8701199999999295E-2</v>
      </c>
      <c r="AD6">
        <v>0.58646029999999905</v>
      </c>
      <c r="AE6">
        <v>17969.355469999999</v>
      </c>
      <c r="AG6" t="s">
        <v>158</v>
      </c>
      <c r="AH6">
        <v>-1.3296389999999301E-2</v>
      </c>
      <c r="AI6">
        <v>-1.0167340000001E-2</v>
      </c>
      <c r="AJ6">
        <v>9266.5732420000004</v>
      </c>
    </row>
    <row r="7" spans="1:41">
      <c r="A7" s="2" t="s">
        <v>46</v>
      </c>
      <c r="B7" s="2" t="s">
        <v>144</v>
      </c>
      <c r="C7" s="2">
        <f>VLOOKUP($A7,'Estimates of the use of water ('!$A:$Q,5,FALSE)</f>
        <v>1.229999998031417E-6</v>
      </c>
      <c r="D7" s="2">
        <f>VLOOKUP($A7,'Estimates of the use of water ('!$A:$Q,6,FALSE)</f>
        <v>77.992996219999995</v>
      </c>
      <c r="E7" s="2">
        <f>VLOOKUP($A7,'Estimates of the use of water ('!$A:$Q,17,FALSE)</f>
        <v>0</v>
      </c>
      <c r="H7" t="s">
        <v>74</v>
      </c>
      <c r="I7">
        <v>0.5251306</v>
      </c>
      <c r="J7">
        <v>0.425499671999999</v>
      </c>
      <c r="K7">
        <v>10160.034180000001</v>
      </c>
      <c r="M7" t="s">
        <v>146</v>
      </c>
      <c r="N7">
        <v>0.135129850000001</v>
      </c>
      <c r="O7">
        <v>0.33324654600000098</v>
      </c>
      <c r="P7">
        <v>78492.210940000004</v>
      </c>
      <c r="R7" t="s">
        <v>114</v>
      </c>
      <c r="S7">
        <v>7.7013139999991204E-3</v>
      </c>
      <c r="T7">
        <v>-5.8100668000000202E-2</v>
      </c>
      <c r="U7">
        <v>868.63201900000001</v>
      </c>
      <c r="W7" t="s">
        <v>55</v>
      </c>
      <c r="X7">
        <v>0.72461242999999897</v>
      </c>
      <c r="Y7">
        <v>1.356516936</v>
      </c>
      <c r="Z7">
        <v>9622.7412110000005</v>
      </c>
      <c r="AB7" t="s">
        <v>87</v>
      </c>
      <c r="AC7">
        <v>0.231157798000001</v>
      </c>
      <c r="AD7">
        <v>0.69866939399999795</v>
      </c>
      <c r="AE7">
        <v>47520.667970000002</v>
      </c>
      <c r="AG7" t="s">
        <v>190</v>
      </c>
      <c r="AH7">
        <v>1.33024236</v>
      </c>
      <c r="AI7">
        <v>2.6347200439999998</v>
      </c>
      <c r="AJ7">
        <v>34663.609380000002</v>
      </c>
    </row>
    <row r="8" spans="1:41">
      <c r="A8" s="2" t="s">
        <v>47</v>
      </c>
      <c r="B8" s="2" t="s">
        <v>148</v>
      </c>
      <c r="C8" s="2">
        <f>VLOOKUP($A8,'Estimates of the use of water ('!$A:$Q,5,FALSE)</f>
        <v>0.57016185399999986</v>
      </c>
      <c r="D8" s="2">
        <f>VLOOKUP($A8,'Estimates of the use of water ('!$A:$Q,6,FALSE)</f>
        <v>27884.380860000001</v>
      </c>
      <c r="E8" s="2">
        <f>VLOOKUP($A8,'Estimates of the use of water ('!$A:$Q,17,FALSE)</f>
        <v>0.2187714419999999</v>
      </c>
      <c r="H8" t="s">
        <v>75</v>
      </c>
      <c r="I8">
        <v>0.66525281000000103</v>
      </c>
      <c r="J8">
        <v>1.456442266</v>
      </c>
      <c r="K8">
        <v>524.73999019999997</v>
      </c>
      <c r="M8" t="s">
        <v>175</v>
      </c>
      <c r="N8">
        <v>9.5409020000005295E-3</v>
      </c>
      <c r="O8">
        <v>-0.14417221999999899</v>
      </c>
      <c r="P8">
        <v>30270.964840000001</v>
      </c>
      <c r="R8" t="s">
        <v>140</v>
      </c>
      <c r="S8">
        <v>0.77759933000000103</v>
      </c>
      <c r="T8">
        <v>1.0074342380000001</v>
      </c>
      <c r="U8">
        <v>258383.25</v>
      </c>
      <c r="W8" t="s">
        <v>60</v>
      </c>
      <c r="X8">
        <v>1.1531797999998599E-2</v>
      </c>
      <c r="Y8">
        <v>4.66901419999999E-2</v>
      </c>
      <c r="Z8">
        <v>9439.4238280000009</v>
      </c>
      <c r="AB8" t="s">
        <v>91</v>
      </c>
      <c r="AC8">
        <v>8.6370021999999796E-2</v>
      </c>
      <c r="AD8">
        <v>0.29204350199999901</v>
      </c>
      <c r="AE8">
        <v>4847.8051759999998</v>
      </c>
      <c r="AG8" t="s">
        <v>206</v>
      </c>
      <c r="AH8">
        <v>0.38590781000000102</v>
      </c>
      <c r="AI8">
        <v>0.37677429000000001</v>
      </c>
      <c r="AJ8">
        <v>4267.3408200000003</v>
      </c>
    </row>
    <row r="9" spans="1:41">
      <c r="A9" s="2" t="s">
        <v>48</v>
      </c>
      <c r="B9" s="2" t="s">
        <v>150</v>
      </c>
      <c r="C9" s="2">
        <f>VLOOKUP($A9,'Estimates of the use of water ('!$A:$Q,5,FALSE)</f>
        <v>0</v>
      </c>
      <c r="D9" s="2">
        <f>VLOOKUP($A9,'Estimates of the use of water ('!$A:$Q,6,FALSE)</f>
        <v>14.27900028</v>
      </c>
      <c r="E9" s="2" t="str">
        <f>VLOOKUP($A9,'Estimates of the use of water ('!$A:$Q,17,FALSE)</f>
        <v>null</v>
      </c>
      <c r="H9" t="s">
        <v>77</v>
      </c>
      <c r="I9">
        <v>0.34928561199999802</v>
      </c>
      <c r="J9">
        <v>0.30438238200000001</v>
      </c>
      <c r="K9">
        <v>23298.376950000002</v>
      </c>
      <c r="M9" t="s">
        <v>176</v>
      </c>
      <c r="N9">
        <v>0.14603886199999999</v>
      </c>
      <c r="O9">
        <v>0.20786264599999801</v>
      </c>
      <c r="P9">
        <v>454.91400149999998</v>
      </c>
      <c r="R9" t="s">
        <v>161</v>
      </c>
      <c r="S9">
        <v>0.82456485199999996</v>
      </c>
      <c r="T9">
        <v>0.61438645999999997</v>
      </c>
      <c r="U9">
        <v>110.927002</v>
      </c>
      <c r="W9" t="s">
        <v>61</v>
      </c>
      <c r="X9">
        <v>-2.4999999936881099E-7</v>
      </c>
      <c r="Y9">
        <v>0</v>
      </c>
      <c r="Z9">
        <v>11287.93066</v>
      </c>
      <c r="AB9" t="s">
        <v>94</v>
      </c>
      <c r="AC9">
        <v>0.226179937999999</v>
      </c>
      <c r="AD9">
        <v>0.78831809600000002</v>
      </c>
      <c r="AE9">
        <v>11324.777340000001</v>
      </c>
      <c r="AG9" t="s">
        <v>249</v>
      </c>
      <c r="AH9">
        <v>0.29968445599999999</v>
      </c>
      <c r="AI9">
        <v>0.29831786799999899</v>
      </c>
      <c r="AJ9">
        <v>38902.949220000002</v>
      </c>
    </row>
    <row r="10" spans="1:41">
      <c r="A10" s="2" t="s">
        <v>49</v>
      </c>
      <c r="B10" s="2" t="s">
        <v>150</v>
      </c>
      <c r="C10" s="2">
        <f>VLOOKUP($A10,'Estimates of the use of water ('!$A:$Q,5,FALSE)</f>
        <v>0</v>
      </c>
      <c r="D10" s="2">
        <f>VLOOKUP($A10,'Estimates of the use of water ('!$A:$Q,6,FALSE)</f>
        <v>93.570999150000006</v>
      </c>
      <c r="E10" s="2" t="str">
        <f>VLOOKUP($A10,'Estimates of the use of water ('!$A:$Q,17,FALSE)</f>
        <v>null</v>
      </c>
      <c r="H10" t="s">
        <v>80</v>
      </c>
      <c r="I10">
        <v>-1.021788674</v>
      </c>
      <c r="J10">
        <v>-0.75696272799999997</v>
      </c>
      <c r="K10">
        <v>4493.1708980000003</v>
      </c>
      <c r="M10" t="s">
        <v>195</v>
      </c>
      <c r="N10">
        <v>0.45321483999999801</v>
      </c>
      <c r="O10">
        <v>0.59225840200000202</v>
      </c>
      <c r="P10">
        <v>27015.033200000002</v>
      </c>
      <c r="R10" t="s">
        <v>164</v>
      </c>
      <c r="S10">
        <v>1.551834194</v>
      </c>
      <c r="T10">
        <v>1.646654574</v>
      </c>
      <c r="U10">
        <v>6741.1601559999999</v>
      </c>
      <c r="W10" t="s">
        <v>67</v>
      </c>
      <c r="X10">
        <v>-9.1893119999980396E-3</v>
      </c>
      <c r="Y10">
        <v>0</v>
      </c>
      <c r="Z10">
        <v>3429.3620609999998</v>
      </c>
      <c r="AB10" t="s">
        <v>103</v>
      </c>
      <c r="AC10">
        <v>0.117494683999999</v>
      </c>
      <c r="AD10">
        <v>0.21868411800000201</v>
      </c>
      <c r="AE10">
        <v>10281.674800000001</v>
      </c>
      <c r="AG10" t="s">
        <v>253</v>
      </c>
      <c r="AH10">
        <v>8.3249139999998098E-2</v>
      </c>
      <c r="AI10">
        <v>0.13940798000000101</v>
      </c>
      <c r="AJ10">
        <v>17997.410159999999</v>
      </c>
    </row>
    <row r="11" spans="1:41">
      <c r="A11" s="2" t="s">
        <v>50</v>
      </c>
      <c r="B11" s="2" t="s">
        <v>150</v>
      </c>
      <c r="C11" s="2" t="str">
        <f>VLOOKUP($A11,'Estimates of the use of water ('!$A:$Q,5,FALSE)</f>
        <v>null</v>
      </c>
      <c r="D11" s="2">
        <f>VLOOKUP($A11,'Estimates of the use of water ('!$A:$Q,6,FALSE)</f>
        <v>43075.414060000003</v>
      </c>
      <c r="E11" s="2" t="str">
        <f>VLOOKUP($A11,'Estimates of the use of water ('!$A:$Q,17,FALSE)</f>
        <v>null</v>
      </c>
      <c r="H11" t="s">
        <v>81</v>
      </c>
      <c r="I11">
        <v>0.35768756400000001</v>
      </c>
      <c r="J11">
        <v>0.39926290199999998</v>
      </c>
      <c r="K11">
        <v>14110.9707</v>
      </c>
      <c r="M11" t="s">
        <v>207</v>
      </c>
      <c r="N11">
        <v>0.13879654799999899</v>
      </c>
      <c r="O11">
        <v>0.28978080000000001</v>
      </c>
      <c r="P11">
        <v>199426.95310000001</v>
      </c>
      <c r="R11" t="s">
        <v>179</v>
      </c>
      <c r="S11">
        <v>4.5904672000000299E-2</v>
      </c>
      <c r="T11">
        <v>3.02719999999994E-2</v>
      </c>
      <c r="U11">
        <v>57.444000240000001</v>
      </c>
      <c r="W11" t="s">
        <v>72</v>
      </c>
      <c r="X11">
        <v>-3.69820739999994E-2</v>
      </c>
      <c r="Y11">
        <v>-0.12297047400000199</v>
      </c>
      <c r="Z11">
        <v>7199.7387699999999</v>
      </c>
      <c r="AB11" t="s">
        <v>104</v>
      </c>
      <c r="AC11">
        <v>0.45919681200000201</v>
      </c>
      <c r="AD11">
        <v>0.89965259999999903</v>
      </c>
      <c r="AE11">
        <v>16212.02246</v>
      </c>
    </row>
    <row r="12" spans="1:41">
      <c r="A12" s="2" t="s">
        <v>51</v>
      </c>
      <c r="B12" s="2" t="s">
        <v>144</v>
      </c>
      <c r="C12" s="2">
        <f>VLOOKUP($A12,'Estimates of the use of water ('!$A:$Q,5,FALSE)</f>
        <v>8.3722797999999446E-2</v>
      </c>
      <c r="D12" s="2">
        <f>VLOOKUP($A12,'Estimates of the use of water ('!$A:$Q,6,FALSE)</f>
        <v>2925.5590820000002</v>
      </c>
      <c r="E12" s="2">
        <f>VLOOKUP($A12,'Estimates of the use of water ('!$A:$Q,17,FALSE)</f>
        <v>0.18904414600000052</v>
      </c>
      <c r="H12" t="s">
        <v>88</v>
      </c>
      <c r="I12">
        <v>1.9624432500002301E-2</v>
      </c>
      <c r="J12">
        <v>0</v>
      </c>
      <c r="K12">
        <v>777.43499759999997</v>
      </c>
      <c r="M12" t="s">
        <v>213</v>
      </c>
      <c r="N12">
        <v>0.41826670799999899</v>
      </c>
      <c r="O12">
        <v>0.57075417800000094</v>
      </c>
      <c r="P12">
        <v>102113.2031</v>
      </c>
      <c r="R12" t="s">
        <v>187</v>
      </c>
      <c r="S12">
        <v>0.93652263600000096</v>
      </c>
      <c r="T12">
        <v>1.795372626</v>
      </c>
      <c r="U12">
        <v>2998.4331050000001</v>
      </c>
      <c r="W12" t="s">
        <v>96</v>
      </c>
      <c r="X12">
        <v>-4.6688779999982397E-3</v>
      </c>
      <c r="Y12">
        <v>-3.0847639999990401E-3</v>
      </c>
      <c r="Z12">
        <v>1160.987061</v>
      </c>
      <c r="AB12" t="s">
        <v>106</v>
      </c>
      <c r="AC12">
        <v>0.476887533999999</v>
      </c>
      <c r="AD12">
        <v>1.0986361520000001</v>
      </c>
      <c r="AE12">
        <v>6325.1210940000001</v>
      </c>
    </row>
    <row r="13" spans="1:41">
      <c r="A13" s="2" t="s">
        <v>52</v>
      </c>
      <c r="B13" s="2" t="s">
        <v>150</v>
      </c>
      <c r="C13" s="2">
        <f>VLOOKUP($A13,'Estimates of the use of water ('!$A:$Q,5,FALSE)</f>
        <v>0</v>
      </c>
      <c r="D13" s="2">
        <f>VLOOKUP($A13,'Estimates of the use of water ('!$A:$Q,6,FALSE)</f>
        <v>104.3389969</v>
      </c>
      <c r="E13" s="2" t="str">
        <f>VLOOKUP($A13,'Estimates of the use of water ('!$A:$Q,17,FALSE)</f>
        <v>null</v>
      </c>
      <c r="H13" t="s">
        <v>89</v>
      </c>
      <c r="I13">
        <v>0.52698596200000103</v>
      </c>
      <c r="J13">
        <v>0.86651544800000002</v>
      </c>
      <c r="K13">
        <v>4856.0927730000003</v>
      </c>
      <c r="M13" t="s">
        <v>248</v>
      </c>
      <c r="N13">
        <v>0.42331015999999999</v>
      </c>
      <c r="O13">
        <v>0.45606591200000002</v>
      </c>
      <c r="P13">
        <v>20908.023440000001</v>
      </c>
      <c r="R13" t="s">
        <v>192</v>
      </c>
      <c r="S13">
        <v>2.0261442820000002</v>
      </c>
      <c r="T13">
        <v>2.2345902299999998</v>
      </c>
      <c r="U13">
        <v>52680.722659999999</v>
      </c>
      <c r="W13" t="s">
        <v>97</v>
      </c>
      <c r="X13">
        <v>9.9796000000651502E-5</v>
      </c>
      <c r="Y13">
        <v>0</v>
      </c>
      <c r="Z13">
        <v>10601.389649999999</v>
      </c>
      <c r="AB13" t="s">
        <v>113</v>
      </c>
      <c r="AC13">
        <v>9.7784147999999502E-2</v>
      </c>
      <c r="AD13">
        <v>0</v>
      </c>
      <c r="AE13">
        <v>2.8359999660000001</v>
      </c>
    </row>
    <row r="14" spans="1:41">
      <c r="A14" s="2" t="s">
        <v>53</v>
      </c>
      <c r="B14" s="2" t="s">
        <v>147</v>
      </c>
      <c r="C14" s="2">
        <f>VLOOKUP($A14,'Estimates of the use of water ('!$A:$Q,5,FALSE)</f>
        <v>-3.8770000000454277E-5</v>
      </c>
      <c r="D14" s="2">
        <f>VLOOKUP($A14,'Estimates of the use of water ('!$A:$Q,6,FALSE)</f>
        <v>23932.498049999998</v>
      </c>
      <c r="E14" s="2">
        <f>VLOOKUP($A14,'Estimates of the use of water ('!$A:$Q,17,FALSE)</f>
        <v>0</v>
      </c>
      <c r="H14" t="s">
        <v>92</v>
      </c>
      <c r="I14">
        <v>-3.3339302000001701E-2</v>
      </c>
      <c r="J14">
        <v>-2.4144972000000601E-2</v>
      </c>
      <c r="K14">
        <v>23226.148440000001</v>
      </c>
      <c r="R14" t="s">
        <v>198</v>
      </c>
      <c r="S14">
        <v>7.8999999857387599E-7</v>
      </c>
      <c r="T14">
        <v>0</v>
      </c>
      <c r="U14">
        <v>4614.5268550000001</v>
      </c>
      <c r="W14" t="s">
        <v>100</v>
      </c>
      <c r="X14">
        <v>6.5000000120107898E-7</v>
      </c>
      <c r="Y14">
        <v>0</v>
      </c>
      <c r="Z14">
        <v>5688.6948240000002</v>
      </c>
      <c r="AB14" t="s">
        <v>130</v>
      </c>
      <c r="AC14">
        <v>0.37447888400000101</v>
      </c>
      <c r="AD14">
        <v>0.57531472400000006</v>
      </c>
      <c r="AE14">
        <v>16252.424800000001</v>
      </c>
    </row>
    <row r="15" spans="1:41">
      <c r="A15" s="2" t="s">
        <v>54</v>
      </c>
      <c r="B15" s="2" t="s">
        <v>144</v>
      </c>
      <c r="C15" s="2">
        <f>VLOOKUP($A15,'Estimates of the use of water ('!$A:$Q,5,FALSE)</f>
        <v>0</v>
      </c>
      <c r="D15" s="2">
        <f>VLOOKUP($A15,'Estimates of the use of water ('!$A:$Q,6,FALSE)</f>
        <v>8678.6669920000004</v>
      </c>
      <c r="E15" s="2">
        <f>VLOOKUP($A15,'Estimates of the use of water ('!$A:$Q,17,FALSE)</f>
        <v>0</v>
      </c>
      <c r="H15" t="s">
        <v>99</v>
      </c>
      <c r="I15">
        <v>0.64678939800000002</v>
      </c>
      <c r="J15">
        <v>0.27205570800000001</v>
      </c>
      <c r="K15">
        <v>76244.53125</v>
      </c>
      <c r="R15" t="s">
        <v>208</v>
      </c>
      <c r="S15">
        <v>5.4789299999981698E-3</v>
      </c>
      <c r="T15">
        <v>2.8622709999999101E-2</v>
      </c>
      <c r="U15">
        <v>17.665000920000001</v>
      </c>
      <c r="W15" t="s">
        <v>115</v>
      </c>
      <c r="X15">
        <v>1.3280000018767199E-6</v>
      </c>
      <c r="Y15">
        <v>0</v>
      </c>
      <c r="Z15">
        <v>5481.1279299999997</v>
      </c>
      <c r="AB15" t="s">
        <v>133</v>
      </c>
      <c r="AC15">
        <v>7.8589980000001003E-2</v>
      </c>
      <c r="AD15">
        <v>0.101144158</v>
      </c>
      <c r="AE15">
        <v>767.43298340000001</v>
      </c>
    </row>
    <row r="16" spans="1:41">
      <c r="A16" s="2" t="s">
        <v>55</v>
      </c>
      <c r="B16" s="2" t="s">
        <v>144</v>
      </c>
      <c r="C16" s="2">
        <f>VLOOKUP($A16,'Estimates of the use of water ('!$A:$Q,5,FALSE)</f>
        <v>0.72461242999999909</v>
      </c>
      <c r="D16" s="2">
        <f>VLOOKUP($A16,'Estimates of the use of water ('!$A:$Q,6,FALSE)</f>
        <v>9622.7412110000005</v>
      </c>
      <c r="E16" s="2">
        <f>VLOOKUP($A16,'Estimates of the use of water ('!$A:$Q,17,FALSE)</f>
        <v>1.3565169359999998</v>
      </c>
      <c r="H16" t="s">
        <v>101</v>
      </c>
      <c r="I16">
        <v>5.2575035999998902E-2</v>
      </c>
      <c r="J16">
        <v>-0.29569443200000101</v>
      </c>
      <c r="K16">
        <v>913.99798580000004</v>
      </c>
      <c r="R16" t="s">
        <v>210</v>
      </c>
      <c r="S16">
        <v>0.77170181600000098</v>
      </c>
      <c r="T16">
        <v>0.81614213399999902</v>
      </c>
      <c r="U16">
        <v>8107.7719729999999</v>
      </c>
      <c r="W16" t="s">
        <v>116</v>
      </c>
      <c r="X16">
        <v>-2.9999999924257301E-7</v>
      </c>
      <c r="Y16">
        <v>0</v>
      </c>
      <c r="Z16">
        <v>64453.195310000003</v>
      </c>
      <c r="AB16" t="s">
        <v>135</v>
      </c>
      <c r="AC16">
        <v>0.48696208400000102</v>
      </c>
      <c r="AD16">
        <v>0.68774515999999997</v>
      </c>
      <c r="AE16">
        <v>9112.9042969999991</v>
      </c>
    </row>
    <row r="17" spans="1:31">
      <c r="A17" s="2" t="s">
        <v>56</v>
      </c>
      <c r="B17" s="2" t="s">
        <v>150</v>
      </c>
      <c r="C17" s="2">
        <f>VLOOKUP($A17,'Estimates of the use of water ('!$A:$Q,5,FALSE)</f>
        <v>0</v>
      </c>
      <c r="D17" s="2">
        <f>VLOOKUP($A17,'Estimates of the use of water ('!$A:$Q,6,FALSE)</f>
        <v>374.2000122</v>
      </c>
      <c r="E17" s="2" t="str">
        <f>VLOOKUP($A17,'Estimates of the use of water ('!$A:$Q,17,FALSE)</f>
        <v>null</v>
      </c>
      <c r="H17" t="s">
        <v>107</v>
      </c>
      <c r="I17">
        <v>0.243607204999996</v>
      </c>
      <c r="J17">
        <v>0</v>
      </c>
      <c r="K17">
        <v>1168.5749510000001</v>
      </c>
      <c r="R17" t="s">
        <v>231</v>
      </c>
      <c r="S17">
        <v>0.103265438</v>
      </c>
      <c r="T17">
        <v>7.8781444000000506E-2</v>
      </c>
      <c r="U17">
        <v>193.5099945</v>
      </c>
      <c r="W17" t="s">
        <v>121</v>
      </c>
      <c r="X17">
        <v>0.318682038</v>
      </c>
      <c r="Y17">
        <v>0.59534672199999905</v>
      </c>
      <c r="Z17">
        <v>4024.179932</v>
      </c>
      <c r="AB17" t="s">
        <v>156</v>
      </c>
      <c r="AC17">
        <v>0.122629642000001</v>
      </c>
      <c r="AD17">
        <v>0.17984045199999901</v>
      </c>
      <c r="AE17">
        <v>2891.0239259999998</v>
      </c>
    </row>
    <row r="18" spans="1:31">
      <c r="A18" s="2" t="s">
        <v>57</v>
      </c>
      <c r="B18" s="2" t="s">
        <v>144</v>
      </c>
      <c r="C18" s="2">
        <f>VLOOKUP($A18,'Estimates of the use of water ('!$A:$Q,5,FALSE)</f>
        <v>0</v>
      </c>
      <c r="D18" s="2">
        <f>VLOOKUP($A18,'Estimates of the use of water ('!$A:$Q,6,FALSE)</f>
        <v>1371.8530270000001</v>
      </c>
      <c r="E18" s="2" t="str">
        <f>VLOOKUP($A18,'Estimates of the use of water ('!$A:$Q,17,FALSE)</f>
        <v>null</v>
      </c>
      <c r="H18" t="s">
        <v>108</v>
      </c>
      <c r="I18">
        <v>0.38462665000000101</v>
      </c>
      <c r="J18">
        <v>0</v>
      </c>
      <c r="K18">
        <v>3342.818115</v>
      </c>
      <c r="R18" t="s">
        <v>243</v>
      </c>
      <c r="S18">
        <v>-0.40577867000000101</v>
      </c>
      <c r="T18">
        <v>-0.72137414</v>
      </c>
      <c r="U18">
        <v>603.13299559999996</v>
      </c>
      <c r="W18" t="s">
        <v>122</v>
      </c>
      <c r="X18">
        <v>-1.9999998812636501E-8</v>
      </c>
      <c r="Y18">
        <v>0</v>
      </c>
      <c r="Z18">
        <v>81787.414059999996</v>
      </c>
      <c r="AB18" t="s">
        <v>184</v>
      </c>
      <c r="AC18">
        <v>0.33082494800000001</v>
      </c>
      <c r="AD18">
        <v>1.01007498</v>
      </c>
      <c r="AE18">
        <v>121858.25</v>
      </c>
    </row>
    <row r="19" spans="1:31">
      <c r="A19" s="2" t="s">
        <v>58</v>
      </c>
      <c r="B19" s="2" t="s">
        <v>143</v>
      </c>
      <c r="C19" s="2">
        <f>VLOOKUP($A19,'Estimates of the use of water ('!$A:$Q,5,FALSE)</f>
        <v>0.11927155599999821</v>
      </c>
      <c r="D19" s="2">
        <f>VLOOKUP($A19,'Estimates of the use of water ('!$A:$Q,6,FALSE)</f>
        <v>156256.2813</v>
      </c>
      <c r="E19" s="2">
        <f>VLOOKUP($A19,'Estimates of the use of water ('!$A:$Q,17,FALSE)</f>
        <v>0.22144529599999885</v>
      </c>
      <c r="H19" t="s">
        <v>110</v>
      </c>
      <c r="I19">
        <v>0.80982314599999905</v>
      </c>
      <c r="J19">
        <v>0.86829276799999899</v>
      </c>
      <c r="K19">
        <v>1104.0379640000001</v>
      </c>
      <c r="R19" t="s">
        <v>255</v>
      </c>
      <c r="S19">
        <v>0.148165883999999</v>
      </c>
      <c r="T19">
        <v>0.224096657999999</v>
      </c>
      <c r="U19">
        <v>68714.515629999994</v>
      </c>
      <c r="W19" t="s">
        <v>125</v>
      </c>
      <c r="X19">
        <v>-4.5999999827017702E-7</v>
      </c>
      <c r="Y19">
        <v>0</v>
      </c>
      <c r="Z19">
        <v>10659.737300000001</v>
      </c>
      <c r="AB19" t="s">
        <v>199</v>
      </c>
      <c r="AC19">
        <v>7.11250519999993E-2</v>
      </c>
      <c r="AD19">
        <v>-7.9442242000000399E-2</v>
      </c>
      <c r="AE19">
        <v>6223.2338870000003</v>
      </c>
    </row>
    <row r="20" spans="1:31">
      <c r="A20" s="2" t="s">
        <v>59</v>
      </c>
      <c r="B20" s="2" t="s">
        <v>150</v>
      </c>
      <c r="C20" s="2">
        <f>VLOOKUP($A20,'Estimates of the use of water ('!$A:$Q,5,FALSE)</f>
        <v>8.0011360000014527E-3</v>
      </c>
      <c r="D20" s="2">
        <f>VLOOKUP($A20,'Estimates of the use of water ('!$A:$Q,6,FALSE)</f>
        <v>285.32699580000002</v>
      </c>
      <c r="E20" s="2" t="str">
        <f>VLOOKUP($A20,'Estimates of the use of water ('!$A:$Q,17,FALSE)</f>
        <v>null</v>
      </c>
      <c r="H20" t="s">
        <v>111</v>
      </c>
      <c r="I20">
        <v>1.5091011080000001</v>
      </c>
      <c r="J20">
        <v>1.515674352</v>
      </c>
      <c r="K20">
        <v>100835.4531</v>
      </c>
      <c r="R20" t="s">
        <v>256</v>
      </c>
      <c r="S20">
        <v>2.0490994979999999</v>
      </c>
      <c r="T20">
        <v>2.3056811740000001</v>
      </c>
      <c r="U20">
        <v>1196.2939449999999</v>
      </c>
      <c r="W20" t="s">
        <v>136</v>
      </c>
      <c r="X20">
        <v>5.8937020000001897E-3</v>
      </c>
      <c r="Y20">
        <v>1.9982056000000602E-2</v>
      </c>
      <c r="Z20">
        <v>9777.9248050000006</v>
      </c>
      <c r="AB20" t="s">
        <v>209</v>
      </c>
      <c r="AC20">
        <v>0.29363575000000097</v>
      </c>
      <c r="AD20">
        <v>0.52870074600000105</v>
      </c>
      <c r="AE20">
        <v>3968.48999</v>
      </c>
    </row>
    <row r="21" spans="1:31">
      <c r="A21" s="2" t="s">
        <v>60</v>
      </c>
      <c r="B21" s="2" t="s">
        <v>144</v>
      </c>
      <c r="C21" s="2">
        <f>VLOOKUP($A21,'Estimates of the use of water ('!$A:$Q,5,FALSE)</f>
        <v>1.1531797999998617E-2</v>
      </c>
      <c r="D21" s="2">
        <f>VLOOKUP($A21,'Estimates of the use of water ('!$A:$Q,6,FALSE)</f>
        <v>9439.4238280000009</v>
      </c>
      <c r="E21" s="2">
        <f>VLOOKUP($A21,'Estimates of the use of water ('!$A:$Q,17,FALSE)</f>
        <v>4.6690141999999921E-2</v>
      </c>
      <c r="H21" t="s">
        <v>119</v>
      </c>
      <c r="I21">
        <v>0.29668881000000102</v>
      </c>
      <c r="J21">
        <v>0.27117117000000002</v>
      </c>
      <c r="K21">
        <v>1947.6899410000001</v>
      </c>
      <c r="R21" t="s">
        <v>258</v>
      </c>
      <c r="S21">
        <v>5.00561299999987E-2</v>
      </c>
      <c r="T21">
        <v>5.00561299999987E-2</v>
      </c>
      <c r="U21">
        <v>1.2469999789999999</v>
      </c>
      <c r="W21" t="s">
        <v>137</v>
      </c>
      <c r="X21">
        <v>-1.0180000003856499E-6</v>
      </c>
      <c r="Y21">
        <v>0</v>
      </c>
      <c r="Z21">
        <v>330.23699950000002</v>
      </c>
      <c r="AB21" t="s">
        <v>211</v>
      </c>
      <c r="AC21">
        <v>0.55145035999999803</v>
      </c>
      <c r="AD21">
        <v>1.153305448</v>
      </c>
      <c r="AE21">
        <v>6688.7460940000001</v>
      </c>
    </row>
    <row r="22" spans="1:31">
      <c r="A22" s="2" t="s">
        <v>61</v>
      </c>
      <c r="B22" s="2" t="s">
        <v>144</v>
      </c>
      <c r="C22" s="2">
        <f>VLOOKUP($A22,'Estimates of the use of water ('!$A:$Q,5,FALSE)</f>
        <v>-2.4999999936881068E-7</v>
      </c>
      <c r="D22" s="2">
        <f>VLOOKUP($A22,'Estimates of the use of water ('!$A:$Q,6,FALSE)</f>
        <v>11287.93066</v>
      </c>
      <c r="E22" s="2">
        <f>VLOOKUP($A22,'Estimates of the use of water ('!$A:$Q,17,FALSE)</f>
        <v>0</v>
      </c>
      <c r="H22" t="s">
        <v>120</v>
      </c>
      <c r="I22">
        <v>0.34604812800000101</v>
      </c>
      <c r="J22">
        <v>0.18672612800000099</v>
      </c>
      <c r="K22">
        <v>2085.860107</v>
      </c>
      <c r="R22" t="s">
        <v>259</v>
      </c>
      <c r="S22">
        <v>3.6275096E-2</v>
      </c>
      <c r="T22">
        <v>1.50060619999977E-2</v>
      </c>
      <c r="U22">
        <v>100.7799988</v>
      </c>
      <c r="W22" t="s">
        <v>151</v>
      </c>
      <c r="X22">
        <v>5.5157040000011603E-3</v>
      </c>
      <c r="Y22">
        <v>2.3620912000001201E-2</v>
      </c>
      <c r="Z22">
        <v>4652.419922</v>
      </c>
      <c r="AB22" t="s">
        <v>212</v>
      </c>
      <c r="AC22">
        <v>0.57147263400000003</v>
      </c>
      <c r="AD22">
        <v>1.5023629300000001</v>
      </c>
      <c r="AE22">
        <v>30470.738280000001</v>
      </c>
    </row>
    <row r="23" spans="1:31">
      <c r="A23" s="2" t="s">
        <v>62</v>
      </c>
      <c r="B23" s="2" t="s">
        <v>150</v>
      </c>
      <c r="C23" s="2">
        <f>VLOOKUP($A23,'Estimates of the use of water ('!$A:$Q,5,FALSE)</f>
        <v>0.24527193000000125</v>
      </c>
      <c r="D23" s="2">
        <f>VLOOKUP($A23,'Estimates of the use of water ('!$A:$Q,6,FALSE)</f>
        <v>360.92599489999998</v>
      </c>
      <c r="E23" s="2">
        <f>VLOOKUP($A23,'Estimates of the use of water ('!$A:$Q,17,FALSE)</f>
        <v>0.46827510399999994</v>
      </c>
      <c r="H23" t="s">
        <v>123</v>
      </c>
      <c r="I23">
        <v>1.126607084</v>
      </c>
      <c r="J23">
        <v>0.93688905600000105</v>
      </c>
      <c r="K23">
        <v>27849.203130000002</v>
      </c>
      <c r="R23" t="s">
        <v>265</v>
      </c>
      <c r="S23">
        <v>0</v>
      </c>
      <c r="T23">
        <v>0</v>
      </c>
      <c r="U23">
        <v>11.09899998</v>
      </c>
      <c r="W23" t="s">
        <v>153</v>
      </c>
      <c r="X23">
        <v>-2.9999999924257301E-7</v>
      </c>
      <c r="Y23">
        <v>0</v>
      </c>
      <c r="Z23">
        <v>7978.4960940000001</v>
      </c>
      <c r="AB23" t="s">
        <v>227</v>
      </c>
      <c r="AC23">
        <v>0.26395005799999999</v>
      </c>
      <c r="AD23">
        <v>0.30035251800000001</v>
      </c>
      <c r="AE23">
        <v>179.1309967</v>
      </c>
    </row>
    <row r="24" spans="1:31">
      <c r="A24" s="2" t="s">
        <v>63</v>
      </c>
      <c r="B24" s="2" t="s">
        <v>148</v>
      </c>
      <c r="C24" s="2">
        <f>VLOOKUP($A24,'Estimates of the use of water ('!$A:$Q,5,FALSE)</f>
        <v>0.12546013799999969</v>
      </c>
      <c r="D24" s="2">
        <f>VLOOKUP($A24,'Estimates of the use of water ('!$A:$Q,6,FALSE)</f>
        <v>10575.96191</v>
      </c>
      <c r="E24" s="2">
        <f>VLOOKUP($A24,'Estimates of the use of water ('!$A:$Q,17,FALSE)</f>
        <v>0.25358310399999906</v>
      </c>
      <c r="H24" t="s">
        <v>131</v>
      </c>
      <c r="I24">
        <v>6.9279840000000106E-2</v>
      </c>
      <c r="J24">
        <v>-0.24019526999999999</v>
      </c>
      <c r="K24">
        <v>11432.0957</v>
      </c>
      <c r="R24" t="s">
        <v>276</v>
      </c>
      <c r="S24">
        <v>0.24860285199999901</v>
      </c>
      <c r="T24">
        <v>0.28383011400000002</v>
      </c>
      <c r="U24">
        <v>271.1279907</v>
      </c>
      <c r="W24" t="s">
        <v>159</v>
      </c>
      <c r="X24">
        <v>8.1927182000001195E-2</v>
      </c>
      <c r="Y24">
        <v>0.2383509</v>
      </c>
      <c r="Z24">
        <v>17572.009770000001</v>
      </c>
      <c r="AB24" t="s">
        <v>250</v>
      </c>
      <c r="AC24">
        <v>0.44838790000000001</v>
      </c>
      <c r="AD24">
        <v>1.198959262</v>
      </c>
      <c r="AE24">
        <v>559.13598630000001</v>
      </c>
    </row>
    <row r="25" spans="1:31">
      <c r="A25" s="2" t="s">
        <v>64</v>
      </c>
      <c r="B25" s="2" t="s">
        <v>155</v>
      </c>
      <c r="C25" s="2">
        <f>VLOOKUP($A25,'Estimates of the use of water ('!$A:$Q,5,FALSE)</f>
        <v>0</v>
      </c>
      <c r="D25" s="2">
        <f>VLOOKUP($A25,'Estimates of the use of water ('!$A:$Q,6,FALSE)</f>
        <v>63.694999690000003</v>
      </c>
      <c r="E25" s="2" t="str">
        <f>VLOOKUP($A25,'Estimates of the use of water ('!$A:$Q,17,FALSE)</f>
        <v>null</v>
      </c>
      <c r="H25" t="s">
        <v>132</v>
      </c>
      <c r="I25">
        <v>5.0512917999999699E-2</v>
      </c>
      <c r="J25">
        <v>0.28183505000000098</v>
      </c>
      <c r="K25">
        <v>1737.2070309999999</v>
      </c>
      <c r="R25" t="s">
        <v>278</v>
      </c>
      <c r="S25">
        <v>0.711259258000001</v>
      </c>
      <c r="T25">
        <v>0.93629408999999797</v>
      </c>
      <c r="U25">
        <v>92677.078129999994</v>
      </c>
      <c r="W25" t="s">
        <v>163</v>
      </c>
      <c r="X25">
        <v>0.65150879399999995</v>
      </c>
      <c r="Y25">
        <v>0.83064227199999996</v>
      </c>
      <c r="Z25">
        <v>5959.1259769999997</v>
      </c>
      <c r="AB25" t="s">
        <v>274</v>
      </c>
      <c r="AC25">
        <v>7.2872000000001005E-2</v>
      </c>
      <c r="AD25">
        <v>0.76099723200000002</v>
      </c>
      <c r="AE25">
        <v>3412.0129390000002</v>
      </c>
    </row>
    <row r="26" spans="1:31">
      <c r="A26" s="2" t="s">
        <v>65</v>
      </c>
      <c r="B26" s="2" t="s">
        <v>143</v>
      </c>
      <c r="C26" s="2">
        <f>VLOOKUP($A26,'Estimates of the use of water ('!$A:$Q,5,FALSE)</f>
        <v>0.21836000799999908</v>
      </c>
      <c r="D26" s="2">
        <f>VLOOKUP($A26,'Estimates of the use of water ('!$A:$Q,6,FALSE)</f>
        <v>727.88500980000003</v>
      </c>
      <c r="E26" s="2">
        <f>VLOOKUP($A26,'Estimates of the use of water ('!$A:$Q,17,FALSE)</f>
        <v>0.3133661399999994</v>
      </c>
      <c r="H26" t="s">
        <v>134</v>
      </c>
      <c r="I26">
        <v>0.42556449200000102</v>
      </c>
      <c r="J26">
        <v>8.5856410000000993E-2</v>
      </c>
      <c r="K26">
        <v>10695.54004</v>
      </c>
      <c r="R26" t="s">
        <v>279</v>
      </c>
      <c r="S26">
        <v>-3.5618833999998899E-2</v>
      </c>
      <c r="T26">
        <v>-3.5618833999998899E-2</v>
      </c>
      <c r="U26">
        <v>12.26200008</v>
      </c>
      <c r="W26" t="s">
        <v>165</v>
      </c>
      <c r="X26">
        <v>5.14967740000003E-2</v>
      </c>
      <c r="Y26">
        <v>0.14490082600000001</v>
      </c>
      <c r="Z26">
        <v>1997.6750489999999</v>
      </c>
    </row>
    <row r="27" spans="1:31">
      <c r="A27" s="2" t="s">
        <v>66</v>
      </c>
      <c r="B27" s="2" t="s">
        <v>150</v>
      </c>
      <c r="C27" s="2">
        <f>VLOOKUP($A27,'Estimates of the use of water ('!$A:$Q,5,FALSE)</f>
        <v>0.58558612399999954</v>
      </c>
      <c r="D27" s="2">
        <f>VLOOKUP($A27,'Estimates of the use of water ('!$A:$Q,6,FALSE)</f>
        <v>10869.73242</v>
      </c>
      <c r="E27" s="2">
        <f>VLOOKUP($A27,'Estimates of the use of water ('!$A:$Q,17,FALSE)</f>
        <v>1.2392925259999998</v>
      </c>
      <c r="H27" t="s">
        <v>160</v>
      </c>
      <c r="I27">
        <v>0.68719271999999998</v>
      </c>
      <c r="J27">
        <v>0.70156340399999995</v>
      </c>
      <c r="K27">
        <v>47878.339840000001</v>
      </c>
      <c r="W27" t="s">
        <v>171</v>
      </c>
      <c r="X27">
        <v>0.28184173200000101</v>
      </c>
      <c r="Y27">
        <v>0.61285916399999996</v>
      </c>
      <c r="Z27">
        <v>2931.8720699999999</v>
      </c>
    </row>
    <row r="28" spans="1:31">
      <c r="A28" s="2" t="s">
        <v>67</v>
      </c>
      <c r="B28" s="2" t="s">
        <v>144</v>
      </c>
      <c r="C28" s="2">
        <f>VLOOKUP($A28,'Estimates of the use of water ('!$A:$Q,5,FALSE)</f>
        <v>-9.1893119999980396E-3</v>
      </c>
      <c r="D28" s="2">
        <f>VLOOKUP($A28,'Estimates of the use of water ('!$A:$Q,6,FALSE)</f>
        <v>3429.3620609999998</v>
      </c>
      <c r="E28" s="2">
        <f>VLOOKUP($A28,'Estimates of the use of water ('!$A:$Q,17,FALSE)</f>
        <v>0</v>
      </c>
      <c r="H28" t="s">
        <v>167</v>
      </c>
      <c r="I28">
        <v>0.32606997400000098</v>
      </c>
      <c r="J28">
        <v>4.58943339999991E-2</v>
      </c>
      <c r="K28">
        <v>2059.0109859999998</v>
      </c>
      <c r="W28" t="s">
        <v>172</v>
      </c>
      <c r="X28">
        <v>-9.0476240000015203E-3</v>
      </c>
      <c r="Y28">
        <v>-0.12857142800000099</v>
      </c>
      <c r="Z28">
        <v>566.74102779999998</v>
      </c>
    </row>
    <row r="29" spans="1:31">
      <c r="A29" s="2" t="s">
        <v>68</v>
      </c>
      <c r="B29" s="2" t="s">
        <v>148</v>
      </c>
      <c r="C29" s="2">
        <f>VLOOKUP($A29,'Estimates of the use of water ('!$A:$Q,5,FALSE)</f>
        <v>0.75345470800000103</v>
      </c>
      <c r="D29" s="2">
        <f>VLOOKUP($A29,'Estimates of the use of water ('!$A:$Q,6,FALSE)</f>
        <v>2120.7160640000002</v>
      </c>
      <c r="E29" s="2">
        <f>VLOOKUP($A29,'Estimates of the use of water ('!$A:$Q,17,FALSE)</f>
        <v>1.4302380059999991</v>
      </c>
      <c r="H29" t="s">
        <v>168</v>
      </c>
      <c r="I29">
        <v>0.53839992999999997</v>
      </c>
      <c r="J29">
        <v>0.56740698599999995</v>
      </c>
      <c r="K29">
        <v>4472.2290039999998</v>
      </c>
      <c r="W29" t="s">
        <v>178</v>
      </c>
      <c r="X29">
        <v>8.0000000934887802E-8</v>
      </c>
      <c r="Y29">
        <v>0</v>
      </c>
      <c r="Z29">
        <v>433.55899049999999</v>
      </c>
    </row>
    <row r="30" spans="1:31">
      <c r="A30" s="2" t="s">
        <v>69</v>
      </c>
      <c r="B30" s="2" t="s">
        <v>150</v>
      </c>
      <c r="C30" s="2">
        <f>VLOOKUP($A30,'Estimates of the use of water ('!$A:$Q,5,FALSE)</f>
        <v>0.30345708000000116</v>
      </c>
      <c r="D30" s="2">
        <f>VLOOKUP($A30,'Estimates of the use of water ('!$A:$Q,6,FALSE)</f>
        <v>204471.76560000001</v>
      </c>
      <c r="E30" s="2">
        <f>VLOOKUP($A30,'Estimates of the use of water ('!$A:$Q,17,FALSE)</f>
        <v>1.4378462700000001</v>
      </c>
      <c r="H30" t="s">
        <v>173</v>
      </c>
      <c r="I30">
        <v>0.89882227400000003</v>
      </c>
      <c r="J30">
        <v>0.65236850999999896</v>
      </c>
      <c r="K30">
        <v>24234.08008</v>
      </c>
      <c r="W30" t="s">
        <v>188</v>
      </c>
      <c r="X30">
        <v>0.29312423000000098</v>
      </c>
      <c r="Y30">
        <v>0.44024507199999902</v>
      </c>
      <c r="Z30">
        <v>626.9569702</v>
      </c>
    </row>
    <row r="31" spans="1:31">
      <c r="A31" s="2" t="s">
        <v>70</v>
      </c>
      <c r="B31" s="2" t="s">
        <v>150</v>
      </c>
      <c r="C31" s="2">
        <f>VLOOKUP($A31,'Estimates of the use of water ('!$A:$Q,5,FALSE)</f>
        <v>0</v>
      </c>
      <c r="D31" s="2">
        <f>VLOOKUP($A31,'Estimates of the use of water ('!$A:$Q,6,FALSE)</f>
        <v>29.148000719999999</v>
      </c>
      <c r="E31" s="2" t="str">
        <f>VLOOKUP($A31,'Estimates of the use of water ('!$A:$Q,17,FALSE)</f>
        <v>null</v>
      </c>
      <c r="H31" t="s">
        <v>174</v>
      </c>
      <c r="I31">
        <v>0.77855387399999898</v>
      </c>
      <c r="J31">
        <v>0.86888702400000095</v>
      </c>
      <c r="K31">
        <v>16745.304690000001</v>
      </c>
      <c r="W31" t="s">
        <v>196</v>
      </c>
      <c r="X31">
        <v>1.4600000213249601E-7</v>
      </c>
      <c r="Y31">
        <v>0</v>
      </c>
      <c r="Z31">
        <v>16938.492190000001</v>
      </c>
    </row>
    <row r="32" spans="1:31">
      <c r="A32" s="2" t="s">
        <v>71</v>
      </c>
      <c r="B32" s="2" t="s">
        <v>147</v>
      </c>
      <c r="C32" s="2">
        <f>VLOOKUP($A32,'Estimates of the use of water ('!$A:$Q,5,FALSE)</f>
        <v>7.8012128000000305E-2</v>
      </c>
      <c r="D32" s="2">
        <f>VLOOKUP($A32,'Estimates of the use of water ('!$A:$Q,6,FALSE)</f>
        <v>414.91400149999998</v>
      </c>
      <c r="E32" s="2" t="str">
        <f>VLOOKUP($A32,'Estimates of the use of water ('!$A:$Q,17,FALSE)</f>
        <v>null</v>
      </c>
      <c r="H32" t="s">
        <v>177</v>
      </c>
      <c r="I32">
        <v>1.6295557620000001</v>
      </c>
      <c r="J32">
        <v>1.737036236</v>
      </c>
      <c r="K32">
        <v>17438.771479999999</v>
      </c>
      <c r="W32" t="s">
        <v>203</v>
      </c>
      <c r="X32">
        <v>5.4096591999999097E-2</v>
      </c>
      <c r="Y32">
        <v>-3.29037119999981E-2</v>
      </c>
      <c r="Z32">
        <v>2079.334961</v>
      </c>
    </row>
    <row r="33" spans="1:26">
      <c r="A33" s="2" t="s">
        <v>72</v>
      </c>
      <c r="B33" s="2" t="s">
        <v>144</v>
      </c>
      <c r="C33" s="2">
        <f>VLOOKUP($A33,'Estimates of the use of water ('!$A:$Q,5,FALSE)</f>
        <v>-3.6982073999999442E-2</v>
      </c>
      <c r="D33" s="2">
        <f>VLOOKUP($A33,'Estimates of the use of water ('!$A:$Q,6,FALSE)</f>
        <v>7199.7387699999999</v>
      </c>
      <c r="E33" s="2">
        <f>VLOOKUP($A33,'Estimates of the use of water ('!$A:$Q,17,FALSE)</f>
        <v>-0.12297047400000168</v>
      </c>
      <c r="H33" t="s">
        <v>181</v>
      </c>
      <c r="I33">
        <v>0.94154796599999901</v>
      </c>
      <c r="J33">
        <v>0.64369934399999995</v>
      </c>
      <c r="K33">
        <v>4046.3039549999999</v>
      </c>
      <c r="W33" t="s">
        <v>205</v>
      </c>
      <c r="X33">
        <v>-1.14000000053238E-6</v>
      </c>
      <c r="Y33">
        <v>0</v>
      </c>
      <c r="Z33">
        <v>5199.8271480000003</v>
      </c>
    </row>
    <row r="34" spans="1:26">
      <c r="A34" s="2" t="s">
        <v>73</v>
      </c>
      <c r="B34" s="2" t="s">
        <v>148</v>
      </c>
      <c r="C34" s="2">
        <f>VLOOKUP($A34,'Estimates of the use of water ('!$A:$Q,5,FALSE)</f>
        <v>-0.58445532599999983</v>
      </c>
      <c r="D34" s="2">
        <f>VLOOKUP($A34,'Estimates of the use of water ('!$A:$Q,6,FALSE)</f>
        <v>18110.615229999999</v>
      </c>
      <c r="E34" s="2">
        <f>VLOOKUP($A34,'Estimates of the use of water ('!$A:$Q,17,FALSE)</f>
        <v>-1.2273809599999992</v>
      </c>
      <c r="H34" t="s">
        <v>182</v>
      </c>
      <c r="I34">
        <v>-4.5424000001048597E-5</v>
      </c>
      <c r="J34">
        <v>0</v>
      </c>
      <c r="K34">
        <v>1259.4570309999999</v>
      </c>
      <c r="W34" t="s">
        <v>214</v>
      </c>
      <c r="X34">
        <v>0.146904334000001</v>
      </c>
      <c r="Y34">
        <v>0.29241935400000002</v>
      </c>
      <c r="Z34">
        <v>38034.074220000002</v>
      </c>
    </row>
    <row r="35" spans="1:26">
      <c r="A35" s="2" t="s">
        <v>74</v>
      </c>
      <c r="B35" s="2" t="s">
        <v>148</v>
      </c>
      <c r="C35" s="2">
        <f>VLOOKUP($A35,'Estimates of the use of water ('!$A:$Q,5,FALSE)</f>
        <v>0.5251306</v>
      </c>
      <c r="D35" s="2">
        <f>VLOOKUP($A35,'Estimates of the use of water ('!$A:$Q,6,FALSE)</f>
        <v>10160.034180000001</v>
      </c>
      <c r="E35" s="2">
        <f>VLOOKUP($A35,'Estimates of the use of water ('!$A:$Q,17,FALSE)</f>
        <v>0.42549967199999938</v>
      </c>
      <c r="H35" t="s">
        <v>191</v>
      </c>
      <c r="I35">
        <v>2.4386500839999998</v>
      </c>
      <c r="J35">
        <v>2.5790615479999999</v>
      </c>
      <c r="K35">
        <v>27042.001950000002</v>
      </c>
      <c r="W35" t="s">
        <v>215</v>
      </c>
      <c r="X35">
        <v>1.46076599999958E-3</v>
      </c>
      <c r="Y35">
        <v>0</v>
      </c>
      <c r="Z35">
        <v>10368.3457</v>
      </c>
    </row>
    <row r="36" spans="1:26">
      <c r="A36" s="2" t="s">
        <v>75</v>
      </c>
      <c r="B36" s="2" t="s">
        <v>148</v>
      </c>
      <c r="C36" s="2">
        <f>VLOOKUP($A36,'Estimates of the use of water ('!$A:$Q,5,FALSE)</f>
        <v>0.66525281000000125</v>
      </c>
      <c r="D36" s="2">
        <f>VLOOKUP($A36,'Estimates of the use of water ('!$A:$Q,6,FALSE)</f>
        <v>524.73999019999997</v>
      </c>
      <c r="E36" s="2">
        <f>VLOOKUP($A36,'Estimates of the use of water ('!$A:$Q,17,FALSE)</f>
        <v>1.4564422659999992</v>
      </c>
      <c r="H36" t="s">
        <v>193</v>
      </c>
      <c r="I36">
        <v>0.34918022599999898</v>
      </c>
      <c r="J36">
        <v>0.223027210000001</v>
      </c>
      <c r="K36">
        <v>2314.9008789999998</v>
      </c>
      <c r="W36" t="s">
        <v>219</v>
      </c>
      <c r="X36">
        <v>0.398786067999998</v>
      </c>
      <c r="Y36">
        <v>0.58770947399999895</v>
      </c>
      <c r="Z36">
        <v>4070.705078</v>
      </c>
    </row>
    <row r="37" spans="1:26">
      <c r="A37" s="2" t="s">
        <v>76</v>
      </c>
      <c r="B37" s="2" t="s">
        <v>147</v>
      </c>
      <c r="C37" s="2">
        <f>VLOOKUP($A37,'Estimates of the use of water ('!$A:$Q,5,FALSE)</f>
        <v>0.55520720199999973</v>
      </c>
      <c r="D37" s="2">
        <f>VLOOKUP($A37,'Estimates of the use of water ('!$A:$Q,6,FALSE)</f>
        <v>15521.434569999999</v>
      </c>
      <c r="E37" s="2">
        <f>VLOOKUP($A37,'Estimates of the use of water ('!$A:$Q,17,FALSE)</f>
        <v>0.47120783000000016</v>
      </c>
      <c r="H37" t="s">
        <v>200</v>
      </c>
      <c r="I37">
        <v>0.28586788200000102</v>
      </c>
      <c r="J37">
        <v>0.36484353399999903</v>
      </c>
      <c r="K37">
        <v>20001.662110000001</v>
      </c>
      <c r="W37" t="s">
        <v>221</v>
      </c>
      <c r="X37">
        <v>0</v>
      </c>
      <c r="Y37">
        <v>0</v>
      </c>
      <c r="Z37">
        <v>19925.181639999999</v>
      </c>
    </row>
    <row r="38" spans="1:26">
      <c r="A38" s="2" t="s">
        <v>77</v>
      </c>
      <c r="B38" s="2" t="s">
        <v>148</v>
      </c>
      <c r="C38" s="2">
        <f>VLOOKUP($A38,'Estimates of the use of water ('!$A:$Q,5,FALSE)</f>
        <v>0.34928561199999847</v>
      </c>
      <c r="D38" s="2">
        <f>VLOOKUP($A38,'Estimates of the use of water ('!$A:$Q,6,FALSE)</f>
        <v>23298.376950000002</v>
      </c>
      <c r="E38" s="2">
        <f>VLOOKUP($A38,'Estimates of the use of water ('!$A:$Q,17,FALSE)</f>
        <v>0.30438238200000001</v>
      </c>
      <c r="H38" t="s">
        <v>201</v>
      </c>
      <c r="I38">
        <v>1.765859584</v>
      </c>
      <c r="J38">
        <v>1.6331522060000001</v>
      </c>
      <c r="K38">
        <v>181137.45310000001</v>
      </c>
      <c r="W38" t="s">
        <v>222</v>
      </c>
      <c r="X38">
        <v>9.3078528000000896E-2</v>
      </c>
      <c r="Y38">
        <v>0.28679859000000102</v>
      </c>
      <c r="Z38">
        <v>144985.0625</v>
      </c>
    </row>
    <row r="39" spans="1:26">
      <c r="A39" s="2" t="s">
        <v>78</v>
      </c>
      <c r="B39" s="2" t="s">
        <v>155</v>
      </c>
      <c r="C39" s="2">
        <f>VLOOKUP($A39,'Estimates of the use of water ('!$A:$Q,5,FALSE)</f>
        <v>-1.4821460000007391E-3</v>
      </c>
      <c r="D39" s="2">
        <f>VLOOKUP($A39,'Estimates of the use of water ('!$A:$Q,6,FALSE)</f>
        <v>36026.667970000002</v>
      </c>
      <c r="E39" s="2">
        <f>VLOOKUP($A39,'Estimates of the use of water ('!$A:$Q,17,FALSE)</f>
        <v>4.8860164000001302E-2</v>
      </c>
      <c r="H39" t="s">
        <v>223</v>
      </c>
      <c r="I39">
        <v>0.65854542600000099</v>
      </c>
      <c r="J39">
        <v>0.65795173399999995</v>
      </c>
      <c r="K39">
        <v>11369.066409999999</v>
      </c>
      <c r="W39" t="s">
        <v>236</v>
      </c>
      <c r="X39">
        <v>0.381814403999999</v>
      </c>
      <c r="Y39">
        <v>0.224289140000002</v>
      </c>
      <c r="Z39">
        <v>8876.7773440000001</v>
      </c>
    </row>
    <row r="40" spans="1:26">
      <c r="A40" s="2" t="s">
        <v>79</v>
      </c>
      <c r="B40" s="2" t="s">
        <v>150</v>
      </c>
      <c r="C40" s="2">
        <f>VLOOKUP($A40,'Estimates of the use of water ('!$A:$Q,5,FALSE)</f>
        <v>0</v>
      </c>
      <c r="D40" s="2">
        <f>VLOOKUP($A40,'Estimates of the use of water ('!$A:$Q,6,FALSE)</f>
        <v>61.721000670000002</v>
      </c>
      <c r="E40" s="2" t="str">
        <f>VLOOKUP($A40,'Estimates of the use of water ('!$A:$Q,17,FALSE)</f>
        <v>null</v>
      </c>
      <c r="H40" t="s">
        <v>233</v>
      </c>
      <c r="I40">
        <v>0.22044507399999999</v>
      </c>
      <c r="J40">
        <v>0.60357956999999895</v>
      </c>
      <c r="K40">
        <v>199.43899540000001</v>
      </c>
      <c r="W40" t="s">
        <v>241</v>
      </c>
      <c r="X40">
        <v>1.01889999999116E-4</v>
      </c>
      <c r="Y40">
        <v>0</v>
      </c>
      <c r="Z40">
        <v>5435.6137699999999</v>
      </c>
    </row>
    <row r="41" spans="1:26">
      <c r="A41" s="2" t="s">
        <v>80</v>
      </c>
      <c r="B41" s="2" t="s">
        <v>148</v>
      </c>
      <c r="C41" s="2">
        <f>VLOOKUP($A41,'Estimates of the use of water ('!$A:$Q,5,FALSE)</f>
        <v>-1.0217886739999997</v>
      </c>
      <c r="D41" s="2">
        <f>VLOOKUP($A41,'Estimates of the use of water ('!$A:$Q,6,FALSE)</f>
        <v>4493.1708980000003</v>
      </c>
      <c r="E41" s="2">
        <f>VLOOKUP($A41,'Estimates of the use of water ('!$A:$Q,17,FALSE)</f>
        <v>-0.75696272799999986</v>
      </c>
      <c r="H41" t="s">
        <v>235</v>
      </c>
      <c r="I41">
        <v>1.260628834</v>
      </c>
      <c r="J41">
        <v>1.860345328</v>
      </c>
      <c r="K41">
        <v>14578.450199999999</v>
      </c>
      <c r="W41" t="s">
        <v>247</v>
      </c>
      <c r="X41">
        <v>-2.2156999999936E-4</v>
      </c>
      <c r="Y41">
        <v>0</v>
      </c>
      <c r="Z41">
        <v>46671.917970000002</v>
      </c>
    </row>
    <row r="42" spans="1:26">
      <c r="A42" s="2" t="s">
        <v>81</v>
      </c>
      <c r="B42" s="2" t="s">
        <v>148</v>
      </c>
      <c r="C42" s="2">
        <f>VLOOKUP($A42,'Estimates of the use of water ('!$A:$Q,5,FALSE)</f>
        <v>0.35768756399999974</v>
      </c>
      <c r="D42" s="2">
        <f>VLOOKUP($A42,'Estimates of the use of water ('!$A:$Q,6,FALSE)</f>
        <v>14110.9707</v>
      </c>
      <c r="E42" s="2">
        <f>VLOOKUP($A42,'Estimates of the use of water ('!$A:$Q,17,FALSE)</f>
        <v>0.39926290199999953</v>
      </c>
      <c r="H42" t="s">
        <v>238</v>
      </c>
      <c r="I42">
        <v>1.1837640920000001</v>
      </c>
      <c r="J42">
        <v>1.444597766</v>
      </c>
      <c r="K42">
        <v>7171.9091799999997</v>
      </c>
      <c r="W42" t="s">
        <v>251</v>
      </c>
      <c r="X42">
        <v>9.1273199999989205E-3</v>
      </c>
      <c r="Y42">
        <v>3.3877642000001602E-2</v>
      </c>
      <c r="Z42">
        <v>9764.9492190000001</v>
      </c>
    </row>
    <row r="43" spans="1:26">
      <c r="A43" s="2" t="s">
        <v>82</v>
      </c>
      <c r="B43" s="2" t="s">
        <v>144</v>
      </c>
      <c r="C43" s="2">
        <f>VLOOKUP($A43,'Estimates of the use of water ('!$A:$Q,5,FALSE)</f>
        <v>0</v>
      </c>
      <c r="D43" s="2">
        <f>VLOOKUP($A43,'Estimates of the use of water ('!$A:$Q,6,FALSE)</f>
        <v>165.38699339999999</v>
      </c>
      <c r="E43" s="2" t="str">
        <f>VLOOKUP($A43,'Estimates of the use of water ('!$A:$Q,17,FALSE)</f>
        <v>null</v>
      </c>
      <c r="H43" t="s">
        <v>244</v>
      </c>
      <c r="I43">
        <v>1.5531639420000001</v>
      </c>
      <c r="J43">
        <v>1.5695340440000001</v>
      </c>
      <c r="K43">
        <v>13797.204100000001</v>
      </c>
      <c r="W43" t="s">
        <v>252</v>
      </c>
      <c r="X43">
        <v>5.6000000085987305E-7</v>
      </c>
      <c r="Y43">
        <v>0</v>
      </c>
      <c r="Z43">
        <v>8296.7753909999992</v>
      </c>
    </row>
    <row r="44" spans="1:26">
      <c r="A44" s="2" t="s">
        <v>83</v>
      </c>
      <c r="B44" s="2" t="s">
        <v>150</v>
      </c>
      <c r="C44" s="2">
        <f>VLOOKUP($A44,'Estimates of the use of water ('!$A:$Q,5,FALSE)</f>
        <v>9.8701199999999295E-2</v>
      </c>
      <c r="D44" s="2">
        <f>VLOOKUP($A44,'Estimates of the use of water ('!$A:$Q,6,FALSE)</f>
        <v>17969.355469999999</v>
      </c>
      <c r="E44" s="2">
        <f>VLOOKUP($A44,'Estimates of the use of water ('!$A:$Q,17,FALSE)</f>
        <v>0.58646029999999882</v>
      </c>
      <c r="H44" t="s">
        <v>245</v>
      </c>
      <c r="I44">
        <v>0.401742714</v>
      </c>
      <c r="J44">
        <v>0.85914853000000202</v>
      </c>
      <c r="K44">
        <v>55386.367189999997</v>
      </c>
      <c r="W44" t="s">
        <v>254</v>
      </c>
      <c r="X44">
        <v>1.1225839019999999</v>
      </c>
      <c r="Y44">
        <v>1.4182834280000001</v>
      </c>
      <c r="Z44">
        <v>8454.0185550000006</v>
      </c>
    </row>
    <row r="45" spans="1:26">
      <c r="A45" s="2" t="s">
        <v>84</v>
      </c>
      <c r="B45" s="2" t="s">
        <v>147</v>
      </c>
      <c r="C45" s="2">
        <f>VLOOKUP($A45,'Estimates of the use of water ('!$A:$Q,5,FALSE)</f>
        <v>0.49969387200000026</v>
      </c>
      <c r="D45" s="2">
        <f>VLOOKUP($A45,'Estimates of the use of water ('!$A:$Q,6,FALSE)</f>
        <v>1430405.375</v>
      </c>
      <c r="E45" s="2">
        <f>VLOOKUP($A45,'Estimates of the use of water ('!$A:$Q,17,FALSE)</f>
        <v>1.0364091180000004</v>
      </c>
      <c r="H45" t="s">
        <v>246</v>
      </c>
      <c r="I45">
        <v>-5.9316458000000703E-2</v>
      </c>
      <c r="J45">
        <v>-0.62663018400000003</v>
      </c>
      <c r="K45">
        <v>10715.657230000001</v>
      </c>
      <c r="W45" t="s">
        <v>262</v>
      </c>
      <c r="X45">
        <v>0.151622007999998</v>
      </c>
      <c r="Y45">
        <v>0.36425735600000198</v>
      </c>
      <c r="Z45">
        <v>78529.414059999996</v>
      </c>
    </row>
    <row r="46" spans="1:26">
      <c r="A46" s="2" t="s">
        <v>85</v>
      </c>
      <c r="B46" s="2" t="s">
        <v>147</v>
      </c>
      <c r="C46" s="2">
        <f>VLOOKUP($A46,'Estimates of the use of water ('!$A:$Q,5,FALSE)</f>
        <v>0</v>
      </c>
      <c r="D46" s="2">
        <f>VLOOKUP($A46,'Estimates of the use of water ('!$A:$Q,6,FALSE)</f>
        <v>7185.9921880000002</v>
      </c>
      <c r="E46" s="2" t="str">
        <f>VLOOKUP($A46,'Estimates of the use of water ('!$A:$Q,17,FALSE)</f>
        <v>null</v>
      </c>
      <c r="H46" t="s">
        <v>257</v>
      </c>
      <c r="I46">
        <v>0.98931874799999897</v>
      </c>
      <c r="J46">
        <v>0.975073894000001</v>
      </c>
      <c r="K46">
        <v>7323.1621089999999</v>
      </c>
      <c r="W46" t="s">
        <v>263</v>
      </c>
      <c r="X46">
        <v>0.46821113800000103</v>
      </c>
      <c r="Y46">
        <v>0.75604336799999905</v>
      </c>
      <c r="Z46">
        <v>5565.283203</v>
      </c>
    </row>
    <row r="47" spans="1:26">
      <c r="A47" s="2" t="s">
        <v>86</v>
      </c>
      <c r="B47" s="2" t="s">
        <v>147</v>
      </c>
      <c r="C47" s="2">
        <f>VLOOKUP($A47,'Estimates of the use of water ('!$A:$Q,5,FALSE)</f>
        <v>0</v>
      </c>
      <c r="D47" s="2">
        <f>VLOOKUP($A47,'Estimates of the use of water ('!$A:$Q,6,FALSE)</f>
        <v>602.09301760000005</v>
      </c>
      <c r="E47" s="2" t="str">
        <f>VLOOKUP($A47,'Estimates of the use of water ('!$A:$Q,17,FALSE)</f>
        <v>null</v>
      </c>
      <c r="H47" t="s">
        <v>261</v>
      </c>
      <c r="I47">
        <v>0.53957077800000097</v>
      </c>
      <c r="J47">
        <v>1.669111792</v>
      </c>
      <c r="K47">
        <v>11179.95117</v>
      </c>
      <c r="W47" t="s">
        <v>267</v>
      </c>
      <c r="X47">
        <v>5.4275051999999803E-2</v>
      </c>
      <c r="Y47">
        <v>0.231377678000001</v>
      </c>
      <c r="Z47">
        <v>44921.636720000002</v>
      </c>
    </row>
    <row r="48" spans="1:26">
      <c r="A48" s="2" t="s">
        <v>87</v>
      </c>
      <c r="B48" s="2" t="s">
        <v>150</v>
      </c>
      <c r="C48" s="2">
        <f>VLOOKUP($A48,'Estimates of the use of water ('!$A:$Q,5,FALSE)</f>
        <v>0.23115779800000097</v>
      </c>
      <c r="D48" s="2">
        <f>VLOOKUP($A48,'Estimates of the use of water ('!$A:$Q,6,FALSE)</f>
        <v>47520.667970000002</v>
      </c>
      <c r="E48" s="2">
        <f>VLOOKUP($A48,'Estimates of the use of water ('!$A:$Q,17,FALSE)</f>
        <v>0.69866939399999806</v>
      </c>
      <c r="H48" t="s">
        <v>266</v>
      </c>
      <c r="I48">
        <v>1.60269817</v>
      </c>
      <c r="J48">
        <v>1.7028372899999999</v>
      </c>
      <c r="K48">
        <v>38225.445310000003</v>
      </c>
      <c r="W48" t="s">
        <v>269</v>
      </c>
      <c r="X48">
        <v>-5.8800000033443203E-7</v>
      </c>
      <c r="Y48">
        <v>0</v>
      </c>
      <c r="Z48">
        <v>65860.148440000004</v>
      </c>
    </row>
    <row r="49" spans="1:26">
      <c r="A49" s="2" t="s">
        <v>88</v>
      </c>
      <c r="B49" s="2" t="s">
        <v>148</v>
      </c>
      <c r="C49" s="2">
        <f>VLOOKUP($A49,'Estimates of the use of water ('!$A:$Q,5,FALSE)</f>
        <v>1.9624432500002342E-2</v>
      </c>
      <c r="D49" s="2">
        <f>VLOOKUP($A49,'Estimates of the use of water ('!$A:$Q,6,FALSE)</f>
        <v>777.43499759999997</v>
      </c>
      <c r="E49" s="2">
        <f>VLOOKUP($A49,'Estimates of the use of water ('!$A:$Q,17,FALSE)</f>
        <v>0</v>
      </c>
      <c r="H49" t="s">
        <v>270</v>
      </c>
      <c r="I49">
        <v>1.5506006000000001</v>
      </c>
      <c r="J49">
        <v>1.316708156</v>
      </c>
      <c r="K49">
        <v>51482.636720000002</v>
      </c>
      <c r="W49" t="s">
        <v>275</v>
      </c>
      <c r="X49">
        <v>6.0041318000000399E-2</v>
      </c>
      <c r="Y49">
        <v>8.6038161999999793E-2</v>
      </c>
      <c r="Z49">
        <v>30929.556639999999</v>
      </c>
    </row>
    <row r="50" spans="1:26">
      <c r="A50" s="2" t="s">
        <v>89</v>
      </c>
      <c r="B50" s="2" t="s">
        <v>148</v>
      </c>
      <c r="C50" s="2">
        <f>VLOOKUP($A50,'Estimates of the use of water ('!$A:$Q,5,FALSE)</f>
        <v>0.52698596200000059</v>
      </c>
      <c r="D50" s="2">
        <f>VLOOKUP($A50,'Estimates of the use of water ('!$A:$Q,6,FALSE)</f>
        <v>4856.0927730000003</v>
      </c>
      <c r="E50" s="2">
        <f>VLOOKUP($A50,'Estimates of the use of water ('!$A:$Q,17,FALSE)</f>
        <v>0.8665154479999998</v>
      </c>
      <c r="H50" t="s">
        <v>282</v>
      </c>
      <c r="I50">
        <v>0.81472745800000002</v>
      </c>
      <c r="J50">
        <v>0.92209080200000004</v>
      </c>
      <c r="K50">
        <v>15879.37012</v>
      </c>
      <c r="W50" t="s">
        <v>280</v>
      </c>
      <c r="X50">
        <v>0.30010810200000099</v>
      </c>
      <c r="Y50">
        <v>0.66688281399999905</v>
      </c>
      <c r="Z50">
        <v>4529.1601559999999</v>
      </c>
    </row>
    <row r="51" spans="1:26">
      <c r="A51" s="2" t="s">
        <v>90</v>
      </c>
      <c r="B51" s="2" t="s">
        <v>147</v>
      </c>
      <c r="C51" s="2">
        <f>VLOOKUP($A51,'Estimates of the use of water ('!$A:$Q,5,FALSE)</f>
        <v>3.5878400000001419E-3</v>
      </c>
      <c r="D51" s="2">
        <f>VLOOKUP($A51,'Estimates of the use of water ('!$A:$Q,6,FALSE)</f>
        <v>17.580999370000001</v>
      </c>
      <c r="E51" s="2" t="str">
        <f>VLOOKUP($A51,'Estimates of the use of water ('!$A:$Q,17,FALSE)</f>
        <v>null</v>
      </c>
      <c r="H51" t="s">
        <v>283</v>
      </c>
      <c r="I51">
        <v>-0.39098582199999898</v>
      </c>
      <c r="J51">
        <v>-0.65001214200000001</v>
      </c>
      <c r="K51">
        <v>13814.641600000001</v>
      </c>
      <c r="W51" t="s">
        <v>281</v>
      </c>
      <c r="X51">
        <v>0.97694024200000096</v>
      </c>
      <c r="Y51">
        <v>1.1446132419999999</v>
      </c>
      <c r="Z51">
        <v>26497.880860000001</v>
      </c>
    </row>
    <row r="52" spans="1:26">
      <c r="A52" s="2" t="s">
        <v>91</v>
      </c>
      <c r="B52" s="2" t="s">
        <v>150</v>
      </c>
      <c r="C52" s="2">
        <f>VLOOKUP($A52,'Estimates of the use of water ('!$A:$Q,5,FALSE)</f>
        <v>8.6370021999999838E-2</v>
      </c>
      <c r="D52" s="2">
        <f>VLOOKUP($A52,'Estimates of the use of water ('!$A:$Q,6,FALSE)</f>
        <v>4847.8051759999998</v>
      </c>
      <c r="E52" s="2">
        <f>VLOOKUP($A52,'Estimates of the use of water ('!$A:$Q,17,FALSE)</f>
        <v>0.29204350199999851</v>
      </c>
    </row>
    <row r="53" spans="1:26">
      <c r="A53" s="2" t="s">
        <v>92</v>
      </c>
      <c r="B53" s="2" t="s">
        <v>148</v>
      </c>
      <c r="C53" s="2">
        <f>VLOOKUP($A53,'Estimates of the use of water ('!$A:$Q,5,FALSE)</f>
        <v>-3.333930200000168E-2</v>
      </c>
      <c r="D53" s="2">
        <f>VLOOKUP($A53,'Estimates of the use of water ('!$A:$Q,6,FALSE)</f>
        <v>23226.148440000001</v>
      </c>
      <c r="E53" s="2">
        <f>VLOOKUP($A53,'Estimates of the use of water ('!$A:$Q,17,FALSE)</f>
        <v>-2.4144972000000563E-2</v>
      </c>
    </row>
    <row r="54" spans="1:26">
      <c r="A54" s="2" t="s">
        <v>93</v>
      </c>
      <c r="B54" s="2" t="s">
        <v>144</v>
      </c>
      <c r="C54" s="2" t="str">
        <f>VLOOKUP($A54,'Estimates of the use of water ('!$A:$Q,5,FALSE)</f>
        <v>null</v>
      </c>
      <c r="D54" s="2">
        <f>VLOOKUP($A54,'Estimates of the use of water ('!$A:$Q,6,FALSE)</f>
        <v>4232.8740230000003</v>
      </c>
      <c r="E54" s="2" t="str">
        <f>VLOOKUP($A54,'Estimates of the use of water ('!$A:$Q,17,FALSE)</f>
        <v>null</v>
      </c>
    </row>
    <row r="55" spans="1:26">
      <c r="A55" s="2" t="s">
        <v>94</v>
      </c>
      <c r="B55" s="2" t="s">
        <v>150</v>
      </c>
      <c r="C55" s="2">
        <f>VLOOKUP($A55,'Estimates of the use of water ('!$A:$Q,5,FALSE)</f>
        <v>0.22617993799999853</v>
      </c>
      <c r="D55" s="2">
        <f>VLOOKUP($A55,'Estimates of the use of water ('!$A:$Q,6,FALSE)</f>
        <v>11324.777340000001</v>
      </c>
      <c r="E55" s="2">
        <f>VLOOKUP($A55,'Estimates of the use of water ('!$A:$Q,17,FALSE)</f>
        <v>0.78831809600000047</v>
      </c>
    </row>
    <row r="56" spans="1:26">
      <c r="A56" s="2" t="s">
        <v>95</v>
      </c>
      <c r="B56" s="2" t="s">
        <v>150</v>
      </c>
      <c r="C56" s="2">
        <f>VLOOKUP($A56,'Estimates of the use of water ('!$A:$Q,5,FALSE)</f>
        <v>0</v>
      </c>
      <c r="D56" s="2">
        <f>VLOOKUP($A56,'Estimates of the use of water ('!$A:$Q,6,FALSE)</f>
        <v>159.8500061</v>
      </c>
      <c r="E56" s="2" t="str">
        <f>VLOOKUP($A56,'Estimates of the use of water ('!$A:$Q,17,FALSE)</f>
        <v>null</v>
      </c>
    </row>
    <row r="57" spans="1:26">
      <c r="A57" s="2" t="s">
        <v>96</v>
      </c>
      <c r="B57" s="2" t="s">
        <v>144</v>
      </c>
      <c r="C57" s="2">
        <f>VLOOKUP($A57,'Estimates of the use of water ('!$A:$Q,5,FALSE)</f>
        <v>-4.668877999998244E-3</v>
      </c>
      <c r="D57" s="2">
        <f>VLOOKUP($A57,'Estimates of the use of water ('!$A:$Q,6,FALSE)</f>
        <v>1160.987061</v>
      </c>
      <c r="E57" s="2">
        <f>VLOOKUP($A57,'Estimates of the use of water ('!$A:$Q,17,FALSE)</f>
        <v>-3.0847639999990405E-3</v>
      </c>
    </row>
    <row r="58" spans="1:26">
      <c r="A58" s="2" t="s">
        <v>97</v>
      </c>
      <c r="B58" s="2" t="s">
        <v>144</v>
      </c>
      <c r="C58" s="2">
        <f>VLOOKUP($A58,'Estimates of the use of water ('!$A:$Q,5,FALSE)</f>
        <v>9.9796000000651475E-5</v>
      </c>
      <c r="D58" s="2">
        <f>VLOOKUP($A58,'Estimates of the use of water ('!$A:$Q,6,FALSE)</f>
        <v>10601.389649999999</v>
      </c>
      <c r="E58" s="2">
        <f>VLOOKUP($A58,'Estimates of the use of water ('!$A:$Q,17,FALSE)</f>
        <v>0</v>
      </c>
    </row>
    <row r="59" spans="1:26">
      <c r="A59" s="2" t="s">
        <v>98</v>
      </c>
      <c r="B59" s="2" t="s">
        <v>147</v>
      </c>
      <c r="C59" s="2">
        <f>VLOOKUP($A59,'Estimates of the use of water ('!$A:$Q,5,FALSE)</f>
        <v>-0.27420773599999959</v>
      </c>
      <c r="D59" s="2">
        <f>VLOOKUP($A59,'Estimates of the use of water ('!$A:$Q,6,FALSE)</f>
        <v>25183.832030000001</v>
      </c>
      <c r="E59" s="2">
        <f>VLOOKUP($A59,'Estimates of the use of water ('!$A:$Q,17,FALSE)</f>
        <v>-0.57266870800000047</v>
      </c>
    </row>
    <row r="60" spans="1:26">
      <c r="A60" s="2" t="s">
        <v>99</v>
      </c>
      <c r="B60" s="2" t="s">
        <v>148</v>
      </c>
      <c r="C60" s="2">
        <f>VLOOKUP($A60,'Estimates of the use of water ('!$A:$Q,5,FALSE)</f>
        <v>0.6467893979999999</v>
      </c>
      <c r="D60" s="2">
        <f>VLOOKUP($A60,'Estimates of the use of water ('!$A:$Q,6,FALSE)</f>
        <v>76244.53125</v>
      </c>
      <c r="E60" s="2">
        <f>VLOOKUP($A60,'Estimates of the use of water ('!$A:$Q,17,FALSE)</f>
        <v>0.2720557079999999</v>
      </c>
    </row>
    <row r="61" spans="1:26">
      <c r="A61" s="2" t="s">
        <v>100</v>
      </c>
      <c r="B61" s="2" t="s">
        <v>144</v>
      </c>
      <c r="C61" s="2">
        <f>VLOOKUP($A61,'Estimates of the use of water ('!$A:$Q,5,FALSE)</f>
        <v>6.5000000120107866E-7</v>
      </c>
      <c r="D61" s="2">
        <f>VLOOKUP($A61,'Estimates of the use of water ('!$A:$Q,6,FALSE)</f>
        <v>5688.6948240000002</v>
      </c>
      <c r="E61" s="2">
        <f>VLOOKUP($A61,'Estimates of the use of water ('!$A:$Q,17,FALSE)</f>
        <v>0</v>
      </c>
    </row>
    <row r="62" spans="1:26">
      <c r="A62" s="2" t="s">
        <v>101</v>
      </c>
      <c r="B62" s="2" t="s">
        <v>148</v>
      </c>
      <c r="C62" s="2">
        <f>VLOOKUP($A62,'Estimates of the use of water ('!$A:$Q,5,FALSE)</f>
        <v>5.257503599999893E-2</v>
      </c>
      <c r="D62" s="2">
        <f>VLOOKUP($A62,'Estimates of the use of water ('!$A:$Q,6,FALSE)</f>
        <v>913.99798580000004</v>
      </c>
      <c r="E62" s="2">
        <f>VLOOKUP($A62,'Estimates of the use of water ('!$A:$Q,17,FALSE)</f>
        <v>-0.29569443200000051</v>
      </c>
    </row>
    <row r="63" spans="1:26">
      <c r="A63" s="2" t="s">
        <v>102</v>
      </c>
      <c r="B63" s="2" t="s">
        <v>150</v>
      </c>
      <c r="C63" s="2">
        <f>VLOOKUP($A63,'Estimates of the use of water ('!$A:$Q,5,FALSE)</f>
        <v>0</v>
      </c>
      <c r="D63" s="2">
        <f>VLOOKUP($A63,'Estimates of the use of water ('!$A:$Q,6,FALSE)</f>
        <v>71.175003050000001</v>
      </c>
      <c r="E63" s="2" t="str">
        <f>VLOOKUP($A63,'Estimates of the use of water ('!$A:$Q,17,FALSE)</f>
        <v>null</v>
      </c>
    </row>
    <row r="64" spans="1:26">
      <c r="A64" s="2" t="s">
        <v>103</v>
      </c>
      <c r="B64" s="2" t="s">
        <v>150</v>
      </c>
      <c r="C64" s="2">
        <f>VLOOKUP($A64,'Estimates of the use of water ('!$A:$Q,5,FALSE)</f>
        <v>0.11749468399999899</v>
      </c>
      <c r="D64" s="2">
        <f>VLOOKUP($A64,'Estimates of the use of water ('!$A:$Q,6,FALSE)</f>
        <v>10281.674800000001</v>
      </c>
      <c r="E64" s="2">
        <f>VLOOKUP($A64,'Estimates of the use of water ('!$A:$Q,17,FALSE)</f>
        <v>0.21868411800000159</v>
      </c>
    </row>
    <row r="65" spans="1:5">
      <c r="A65" s="2" t="s">
        <v>104</v>
      </c>
      <c r="B65" s="2" t="s">
        <v>150</v>
      </c>
      <c r="C65" s="2">
        <f>VLOOKUP($A65,'Estimates of the use of water ('!$A:$Q,5,FALSE)</f>
        <v>0.45919681200000184</v>
      </c>
      <c r="D65" s="2">
        <f>VLOOKUP($A65,'Estimates of the use of water ('!$A:$Q,6,FALSE)</f>
        <v>16212.02246</v>
      </c>
      <c r="E65" s="2">
        <f>VLOOKUP($A65,'Estimates of the use of water ('!$A:$Q,17,FALSE)</f>
        <v>0.89965259999999891</v>
      </c>
    </row>
    <row r="66" spans="1:5">
      <c r="A66" s="2" t="s">
        <v>105</v>
      </c>
      <c r="B66" s="2" t="s">
        <v>145</v>
      </c>
      <c r="C66" s="2">
        <f>VLOOKUP($A66,'Estimates of the use of water ('!$A:$Q,5,FALSE)</f>
        <v>6.669168399999989E-2</v>
      </c>
      <c r="D66" s="2">
        <f>VLOOKUP($A66,'Estimates of the use of water ('!$A:$Q,6,FALSE)</f>
        <v>92442.546879999994</v>
      </c>
      <c r="E66" s="2">
        <f>VLOOKUP($A66,'Estimates of the use of water ('!$A:$Q,17,FALSE)</f>
        <v>0.1061914459999997</v>
      </c>
    </row>
    <row r="67" spans="1:5">
      <c r="A67" s="2" t="s">
        <v>106</v>
      </c>
      <c r="B67" s="2" t="s">
        <v>150</v>
      </c>
      <c r="C67" s="2">
        <f>VLOOKUP($A67,'Estimates of the use of water ('!$A:$Q,5,FALSE)</f>
        <v>0.47688753399999939</v>
      </c>
      <c r="D67" s="2">
        <f>VLOOKUP($A67,'Estimates of the use of water ('!$A:$Q,6,FALSE)</f>
        <v>6325.1210940000001</v>
      </c>
      <c r="E67" s="2">
        <f>VLOOKUP($A67,'Estimates of the use of water ('!$A:$Q,17,FALSE)</f>
        <v>1.0986361520000003</v>
      </c>
    </row>
    <row r="68" spans="1:5">
      <c r="A68" s="2" t="s">
        <v>107</v>
      </c>
      <c r="B68" s="2" t="s">
        <v>148</v>
      </c>
      <c r="C68" s="2">
        <f>VLOOKUP($A68,'Estimates of the use of water ('!$A:$Q,5,FALSE)</f>
        <v>0.24360720499999644</v>
      </c>
      <c r="D68" s="2">
        <f>VLOOKUP($A68,'Estimates of the use of water ('!$A:$Q,6,FALSE)</f>
        <v>1168.5749510000001</v>
      </c>
      <c r="E68" s="2">
        <f>VLOOKUP($A68,'Estimates of the use of water ('!$A:$Q,17,FALSE)</f>
        <v>0</v>
      </c>
    </row>
    <row r="69" spans="1:5">
      <c r="A69" s="2" t="s">
        <v>108</v>
      </c>
      <c r="B69" s="2" t="s">
        <v>148</v>
      </c>
      <c r="C69" s="2">
        <f>VLOOKUP($A69,'Estimates of the use of water ('!$A:$Q,5,FALSE)</f>
        <v>0.38462665000000129</v>
      </c>
      <c r="D69" s="2">
        <f>VLOOKUP($A69,'Estimates of the use of water ('!$A:$Q,6,FALSE)</f>
        <v>3342.818115</v>
      </c>
      <c r="E69" s="2">
        <f>VLOOKUP($A69,'Estimates of the use of water ('!$A:$Q,17,FALSE)</f>
        <v>0</v>
      </c>
    </row>
    <row r="70" spans="1:5">
      <c r="A70" s="2" t="s">
        <v>109</v>
      </c>
      <c r="B70" s="2" t="s">
        <v>144</v>
      </c>
      <c r="C70" s="2">
        <f>VLOOKUP($A70,'Estimates of the use of water ('!$A:$Q,5,FALSE)</f>
        <v>-3.2105157999998822E-2</v>
      </c>
      <c r="D70" s="2">
        <f>VLOOKUP($A70,'Estimates of the use of water ('!$A:$Q,6,FALSE)</f>
        <v>1315.329956</v>
      </c>
      <c r="E70" s="2" t="str">
        <f>VLOOKUP($A70,'Estimates of the use of water ('!$A:$Q,17,FALSE)</f>
        <v>null</v>
      </c>
    </row>
    <row r="71" spans="1:5">
      <c r="A71" s="2" t="s">
        <v>110</v>
      </c>
      <c r="B71" s="2" t="s">
        <v>148</v>
      </c>
      <c r="C71" s="2">
        <f>VLOOKUP($A71,'Estimates of the use of water ('!$A:$Q,5,FALSE)</f>
        <v>0.80982314599999938</v>
      </c>
      <c r="D71" s="2">
        <f>VLOOKUP($A71,'Estimates of the use of water ('!$A:$Q,6,FALSE)</f>
        <v>1104.0379640000001</v>
      </c>
      <c r="E71" s="2">
        <f>VLOOKUP($A71,'Estimates of the use of water ('!$A:$Q,17,FALSE)</f>
        <v>0.86829276799999922</v>
      </c>
    </row>
    <row r="72" spans="1:5">
      <c r="A72" s="2" t="s">
        <v>111</v>
      </c>
      <c r="B72" s="2" t="s">
        <v>148</v>
      </c>
      <c r="C72" s="2">
        <f>VLOOKUP($A72,'Estimates of the use of water ('!$A:$Q,5,FALSE)</f>
        <v>1.5091011080000001</v>
      </c>
      <c r="D72" s="2">
        <f>VLOOKUP($A72,'Estimates of the use of water ('!$A:$Q,6,FALSE)</f>
        <v>100835.4531</v>
      </c>
      <c r="E72" s="2">
        <f>VLOOKUP($A72,'Estimates of the use of water ('!$A:$Q,17,FALSE)</f>
        <v>1.5156743520000007</v>
      </c>
    </row>
    <row r="73" spans="1:5">
      <c r="A73" s="2" t="s">
        <v>112</v>
      </c>
      <c r="B73" s="2" t="s">
        <v>144</v>
      </c>
      <c r="C73" s="2">
        <f>VLOOKUP($A73,'Estimates of the use of water ('!$A:$Q,5,FALSE)</f>
        <v>0</v>
      </c>
      <c r="D73" s="2">
        <f>VLOOKUP($A73,'Estimates of the use of water ('!$A:$Q,6,FALSE)</f>
        <v>48.055000309999997</v>
      </c>
      <c r="E73" s="2" t="str">
        <f>VLOOKUP($A73,'Estimates of the use of water ('!$A:$Q,17,FALSE)</f>
        <v>null</v>
      </c>
    </row>
    <row r="74" spans="1:5">
      <c r="A74" s="2" t="s">
        <v>113</v>
      </c>
      <c r="B74" s="2" t="s">
        <v>150</v>
      </c>
      <c r="C74" s="2">
        <f>VLOOKUP($A74,'Estimates of the use of water ('!$A:$Q,5,FALSE)</f>
        <v>9.7784147999999502E-2</v>
      </c>
      <c r="D74" s="2">
        <f>VLOOKUP($A74,'Estimates of the use of water ('!$A:$Q,6,FALSE)</f>
        <v>2.8359999660000001</v>
      </c>
      <c r="E74" s="2">
        <f>VLOOKUP($A74,'Estimates of the use of water ('!$A:$Q,17,FALSE)</f>
        <v>0</v>
      </c>
    </row>
    <row r="75" spans="1:5">
      <c r="A75" s="2" t="s">
        <v>114</v>
      </c>
      <c r="B75" s="2" t="s">
        <v>147</v>
      </c>
      <c r="C75" s="2">
        <f>VLOOKUP($A75,'Estimates of the use of water ('!$A:$Q,5,FALSE)</f>
        <v>7.7013139999991152E-3</v>
      </c>
      <c r="D75" s="2">
        <f>VLOOKUP($A75,'Estimates of the use of water ('!$A:$Q,6,FALSE)</f>
        <v>868.63201900000001</v>
      </c>
      <c r="E75" s="2">
        <f>VLOOKUP($A75,'Estimates of the use of water ('!$A:$Q,17,FALSE)</f>
        <v>-5.8100668000000154E-2</v>
      </c>
    </row>
    <row r="76" spans="1:5">
      <c r="A76" s="2" t="s">
        <v>115</v>
      </c>
      <c r="B76" s="2" t="s">
        <v>144</v>
      </c>
      <c r="C76" s="2">
        <f>VLOOKUP($A76,'Estimates of the use of water ('!$A:$Q,5,FALSE)</f>
        <v>1.3280000018767169E-6</v>
      </c>
      <c r="D76" s="2">
        <f>VLOOKUP($A76,'Estimates of the use of water ('!$A:$Q,6,FALSE)</f>
        <v>5481.1279299999997</v>
      </c>
      <c r="E76" s="2">
        <f>VLOOKUP($A76,'Estimates of the use of water ('!$A:$Q,17,FALSE)</f>
        <v>0</v>
      </c>
    </row>
    <row r="77" spans="1:5">
      <c r="A77" s="2" t="s">
        <v>116</v>
      </c>
      <c r="B77" s="2" t="s">
        <v>144</v>
      </c>
      <c r="C77" s="2">
        <f>VLOOKUP($A77,'Estimates of the use of water ('!$A:$Q,5,FALSE)</f>
        <v>-2.999999992425728E-7</v>
      </c>
      <c r="D77" s="2">
        <f>VLOOKUP($A77,'Estimates of the use of water ('!$A:$Q,6,FALSE)</f>
        <v>64453.195310000003</v>
      </c>
      <c r="E77" s="2">
        <f>VLOOKUP($A77,'Estimates of the use of water ('!$A:$Q,17,FALSE)</f>
        <v>0</v>
      </c>
    </row>
    <row r="78" spans="1:5">
      <c r="A78" s="2" t="s">
        <v>117</v>
      </c>
      <c r="B78" s="2" t="s">
        <v>150</v>
      </c>
      <c r="C78" s="2">
        <f>VLOOKUP($A78,'Estimates of the use of water ('!$A:$Q,5,FALSE)</f>
        <v>4.4031956000000608E-2</v>
      </c>
      <c r="D78" s="2">
        <f>VLOOKUP($A78,'Estimates of the use of water ('!$A:$Q,6,FALSE)</f>
        <v>261.00799560000002</v>
      </c>
      <c r="E78" s="2" t="str">
        <f>VLOOKUP($A78,'Estimates of the use of water ('!$A:$Q,17,FALSE)</f>
        <v>null</v>
      </c>
    </row>
    <row r="79" spans="1:5">
      <c r="A79" s="2" t="s">
        <v>118</v>
      </c>
      <c r="B79" s="2" t="s">
        <v>147</v>
      </c>
      <c r="C79" s="2">
        <f>VLOOKUP($A79,'Estimates of the use of water ('!$A:$Q,5,FALSE)</f>
        <v>0</v>
      </c>
      <c r="D79" s="2">
        <f>VLOOKUP($A79,'Estimates of the use of water ('!$A:$Q,6,FALSE)</f>
        <v>273.118988</v>
      </c>
      <c r="E79" s="2" t="str">
        <f>VLOOKUP($A79,'Estimates of the use of water ('!$A:$Q,17,FALSE)</f>
        <v>null</v>
      </c>
    </row>
    <row r="80" spans="1:5">
      <c r="A80" s="2" t="s">
        <v>119</v>
      </c>
      <c r="B80" s="2" t="s">
        <v>148</v>
      </c>
      <c r="C80" s="2">
        <f>VLOOKUP($A80,'Estimates of the use of water ('!$A:$Q,5,FALSE)</f>
        <v>0.29668881000000058</v>
      </c>
      <c r="D80" s="2">
        <f>VLOOKUP($A80,'Estimates of the use of water ('!$A:$Q,6,FALSE)</f>
        <v>1947.6899410000001</v>
      </c>
      <c r="E80" s="2">
        <f>VLOOKUP($A80,'Estimates of the use of water ('!$A:$Q,17,FALSE)</f>
        <v>0.27117116999999952</v>
      </c>
    </row>
    <row r="81" spans="1:5">
      <c r="A81" s="2" t="s">
        <v>120</v>
      </c>
      <c r="B81" s="2" t="s">
        <v>148</v>
      </c>
      <c r="C81" s="2">
        <f>VLOOKUP($A81,'Estimates of the use of water ('!$A:$Q,5,FALSE)</f>
        <v>0.34604812800000107</v>
      </c>
      <c r="D81" s="2">
        <f>VLOOKUP($A81,'Estimates of the use of water ('!$A:$Q,6,FALSE)</f>
        <v>2085.860107</v>
      </c>
      <c r="E81" s="2">
        <f>VLOOKUP($A81,'Estimates of the use of water ('!$A:$Q,17,FALSE)</f>
        <v>0.18672612800000082</v>
      </c>
    </row>
    <row r="82" spans="1:5">
      <c r="A82" s="2" t="s">
        <v>121</v>
      </c>
      <c r="B82" s="2" t="s">
        <v>144</v>
      </c>
      <c r="C82" s="2">
        <f>VLOOKUP($A82,'Estimates of the use of water ('!$A:$Q,5,FALSE)</f>
        <v>0.31868203800000006</v>
      </c>
      <c r="D82" s="2">
        <f>VLOOKUP($A82,'Estimates of the use of water ('!$A:$Q,6,FALSE)</f>
        <v>4024.179932</v>
      </c>
      <c r="E82" s="2">
        <f>VLOOKUP($A82,'Estimates of the use of water ('!$A:$Q,17,FALSE)</f>
        <v>0.59534672199999927</v>
      </c>
    </row>
    <row r="83" spans="1:5">
      <c r="A83" s="2" t="s">
        <v>122</v>
      </c>
      <c r="B83" s="2" t="s">
        <v>144</v>
      </c>
      <c r="C83" s="2">
        <f>VLOOKUP($A83,'Estimates of the use of water ('!$A:$Q,5,FALSE)</f>
        <v>-1.9999998812636478E-8</v>
      </c>
      <c r="D83" s="2">
        <f>VLOOKUP($A83,'Estimates of the use of water ('!$A:$Q,6,FALSE)</f>
        <v>81787.414059999996</v>
      </c>
      <c r="E83" s="2">
        <f>VLOOKUP($A83,'Estimates of the use of water ('!$A:$Q,17,FALSE)</f>
        <v>0</v>
      </c>
    </row>
    <row r="84" spans="1:5">
      <c r="A84" s="2" t="s">
        <v>123</v>
      </c>
      <c r="B84" s="2" t="s">
        <v>148</v>
      </c>
      <c r="C84" s="2">
        <f>VLOOKUP($A84,'Estimates of the use of water ('!$A:$Q,5,FALSE)</f>
        <v>1.1266070839999998</v>
      </c>
      <c r="D84" s="2">
        <f>VLOOKUP($A84,'Estimates of the use of water ('!$A:$Q,6,FALSE)</f>
        <v>27849.203130000002</v>
      </c>
      <c r="E84" s="2">
        <f>VLOOKUP($A84,'Estimates of the use of water ('!$A:$Q,17,FALSE)</f>
        <v>0.93688905600000116</v>
      </c>
    </row>
    <row r="85" spans="1:5">
      <c r="A85" s="2" t="s">
        <v>124</v>
      </c>
      <c r="B85" s="2" t="s">
        <v>144</v>
      </c>
      <c r="C85" s="2">
        <f>VLOOKUP($A85,'Estimates of the use of water ('!$A:$Q,5,FALSE)</f>
        <v>0</v>
      </c>
      <c r="D85" s="2">
        <f>VLOOKUP($A85,'Estimates of the use of water ('!$A:$Q,6,FALSE)</f>
        <v>33.742000580000003</v>
      </c>
      <c r="E85" s="2" t="str">
        <f>VLOOKUP($A85,'Estimates of the use of water ('!$A:$Q,17,FALSE)</f>
        <v>null</v>
      </c>
    </row>
    <row r="86" spans="1:5">
      <c r="A86" s="2" t="s">
        <v>125</v>
      </c>
      <c r="B86" s="2" t="s">
        <v>144</v>
      </c>
      <c r="C86" s="2">
        <f>VLOOKUP($A86,'Estimates of the use of water ('!$A:$Q,5,FALSE)</f>
        <v>-4.5999999827017745E-7</v>
      </c>
      <c r="D86" s="2">
        <f>VLOOKUP($A86,'Estimates of the use of water ('!$A:$Q,6,FALSE)</f>
        <v>10659.737300000001</v>
      </c>
      <c r="E86" s="2">
        <f>VLOOKUP($A86,'Estimates of the use of water ('!$A:$Q,17,FALSE)</f>
        <v>0</v>
      </c>
    </row>
    <row r="87" spans="1:5">
      <c r="A87" s="2" t="s">
        <v>126</v>
      </c>
      <c r="B87" s="2" t="s">
        <v>155</v>
      </c>
      <c r="C87" s="2">
        <f>VLOOKUP($A87,'Estimates of the use of water ('!$A:$Q,5,FALSE)</f>
        <v>3.3999999971001671E-7</v>
      </c>
      <c r="D87" s="2">
        <f>VLOOKUP($A87,'Estimates of the use of water ('!$A:$Q,6,FALSE)</f>
        <v>56.377998349999999</v>
      </c>
      <c r="E87" s="2">
        <f>VLOOKUP($A87,'Estimates of the use of water ('!$A:$Q,17,FALSE)</f>
        <v>0</v>
      </c>
    </row>
    <row r="88" spans="1:5">
      <c r="A88" s="2" t="s">
        <v>127</v>
      </c>
      <c r="B88" s="2" t="s">
        <v>150</v>
      </c>
      <c r="C88" s="2">
        <f>VLOOKUP($A88,'Estimates of the use of water ('!$A:$Q,5,FALSE)</f>
        <v>0</v>
      </c>
      <c r="D88" s="2">
        <f>VLOOKUP($A88,'Estimates of the use of water ('!$A:$Q,6,FALSE)</f>
        <v>109.6029968</v>
      </c>
      <c r="E88" s="2" t="str">
        <f>VLOOKUP($A88,'Estimates of the use of water ('!$A:$Q,17,FALSE)</f>
        <v>null</v>
      </c>
    </row>
    <row r="89" spans="1:5">
      <c r="A89" s="2" t="s">
        <v>128</v>
      </c>
      <c r="B89" s="2" t="s">
        <v>150</v>
      </c>
      <c r="C89" s="2">
        <f>VLOOKUP($A89,'Estimates of the use of water ('!$A:$Q,5,FALSE)</f>
        <v>3.8419582000000216E-2</v>
      </c>
      <c r="D89" s="2">
        <f>VLOOKUP($A89,'Estimates of the use of water ('!$A:$Q,6,FALSE)</f>
        <v>400.26000979999998</v>
      </c>
      <c r="E89" s="2" t="str">
        <f>VLOOKUP($A89,'Estimates of the use of water ('!$A:$Q,17,FALSE)</f>
        <v>null</v>
      </c>
    </row>
    <row r="90" spans="1:5">
      <c r="A90" s="2" t="s">
        <v>129</v>
      </c>
      <c r="B90" s="2" t="s">
        <v>147</v>
      </c>
      <c r="C90" s="2">
        <f>VLOOKUP($A90,'Estimates of the use of water ('!$A:$Q,5,FALSE)</f>
        <v>0</v>
      </c>
      <c r="D90" s="2">
        <f>VLOOKUP($A90,'Estimates of the use of water ('!$A:$Q,6,FALSE)</f>
        <v>161.85099790000001</v>
      </c>
      <c r="E90" s="2" t="str">
        <f>VLOOKUP($A90,'Estimates of the use of water ('!$A:$Q,17,FALSE)</f>
        <v>null</v>
      </c>
    </row>
    <row r="91" spans="1:5">
      <c r="A91" s="2" t="s">
        <v>130</v>
      </c>
      <c r="B91" s="2" t="s">
        <v>150</v>
      </c>
      <c r="C91" s="2">
        <f>VLOOKUP($A91,'Estimates of the use of water ('!$A:$Q,5,FALSE)</f>
        <v>0.37447888400000123</v>
      </c>
      <c r="D91" s="2">
        <f>VLOOKUP($A91,'Estimates of the use of water ('!$A:$Q,6,FALSE)</f>
        <v>16252.424800000001</v>
      </c>
      <c r="E91" s="2">
        <f>VLOOKUP($A91,'Estimates of the use of water ('!$A:$Q,17,FALSE)</f>
        <v>0.57531472400000039</v>
      </c>
    </row>
    <row r="92" spans="1:5">
      <c r="A92" s="2" t="s">
        <v>131</v>
      </c>
      <c r="B92" s="2" t="s">
        <v>148</v>
      </c>
      <c r="C92" s="2">
        <f>VLOOKUP($A92,'Estimates of the use of water ('!$A:$Q,5,FALSE)</f>
        <v>6.9279840000000092E-2</v>
      </c>
      <c r="D92" s="2">
        <f>VLOOKUP($A92,'Estimates of the use of water ('!$A:$Q,6,FALSE)</f>
        <v>11432.0957</v>
      </c>
      <c r="E92" s="2">
        <f>VLOOKUP($A92,'Estimates of the use of water ('!$A:$Q,17,FALSE)</f>
        <v>-0.24019526999999954</v>
      </c>
    </row>
    <row r="93" spans="1:5">
      <c r="A93" s="2" t="s">
        <v>132</v>
      </c>
      <c r="B93" s="2" t="s">
        <v>148</v>
      </c>
      <c r="C93" s="2">
        <f>VLOOKUP($A93,'Estimates of the use of water ('!$A:$Q,5,FALSE)</f>
        <v>5.0512917999999726E-2</v>
      </c>
      <c r="D93" s="2">
        <f>VLOOKUP($A93,'Estimates of the use of water ('!$A:$Q,6,FALSE)</f>
        <v>1737.2070309999999</v>
      </c>
      <c r="E93" s="2">
        <f>VLOOKUP($A93,'Estimates of the use of water ('!$A:$Q,17,FALSE)</f>
        <v>0.28183505000000081</v>
      </c>
    </row>
    <row r="94" spans="1:5">
      <c r="A94" s="2" t="s">
        <v>133</v>
      </c>
      <c r="B94" s="2" t="s">
        <v>150</v>
      </c>
      <c r="C94" s="2">
        <f>VLOOKUP($A94,'Estimates of the use of water ('!$A:$Q,5,FALSE)</f>
        <v>7.8589980000000989E-2</v>
      </c>
      <c r="D94" s="2">
        <f>VLOOKUP($A94,'Estimates of the use of water ('!$A:$Q,6,FALSE)</f>
        <v>767.43298340000001</v>
      </c>
      <c r="E94" s="2">
        <f>VLOOKUP($A94,'Estimates of the use of water ('!$A:$Q,17,FALSE)</f>
        <v>0.10114415799999961</v>
      </c>
    </row>
    <row r="95" spans="1:5">
      <c r="A95" s="2" t="s">
        <v>134</v>
      </c>
      <c r="B95" s="2" t="s">
        <v>148</v>
      </c>
      <c r="C95" s="2">
        <f>VLOOKUP($A95,'Estimates of the use of water ('!$A:$Q,5,FALSE)</f>
        <v>0.4255644920000009</v>
      </c>
      <c r="D95" s="2">
        <f>VLOOKUP($A95,'Estimates of the use of water ('!$A:$Q,6,FALSE)</f>
        <v>10695.54004</v>
      </c>
      <c r="E95" s="2">
        <f>VLOOKUP($A95,'Estimates of the use of water ('!$A:$Q,17,FALSE)</f>
        <v>8.5856410000000952E-2</v>
      </c>
    </row>
    <row r="96" spans="1:5">
      <c r="A96" s="2" t="s">
        <v>135</v>
      </c>
      <c r="B96" s="2" t="s">
        <v>150</v>
      </c>
      <c r="C96" s="2">
        <f>VLOOKUP($A96,'Estimates of the use of water ('!$A:$Q,5,FALSE)</f>
        <v>0.48696208400000102</v>
      </c>
      <c r="D96" s="2">
        <f>VLOOKUP($A96,'Estimates of the use of water ('!$A:$Q,6,FALSE)</f>
        <v>9112.9042969999991</v>
      </c>
      <c r="E96" s="2">
        <f>VLOOKUP($A96,'Estimates of the use of water ('!$A:$Q,17,FALSE)</f>
        <v>0.68774516000000008</v>
      </c>
    </row>
    <row r="97" spans="1:5">
      <c r="A97" s="2" t="s">
        <v>136</v>
      </c>
      <c r="B97" s="2" t="s">
        <v>144</v>
      </c>
      <c r="C97" s="2">
        <f>VLOOKUP($A97,'Estimates of the use of water ('!$A:$Q,5,FALSE)</f>
        <v>5.8937020000001897E-3</v>
      </c>
      <c r="D97" s="2">
        <f>VLOOKUP($A97,'Estimates of the use of water ('!$A:$Q,6,FALSE)</f>
        <v>9777.9248050000006</v>
      </c>
      <c r="E97" s="2">
        <f>VLOOKUP($A97,'Estimates of the use of water ('!$A:$Q,17,FALSE)</f>
        <v>1.9982056000000626E-2</v>
      </c>
    </row>
    <row r="98" spans="1:5">
      <c r="A98" s="2" t="s">
        <v>137</v>
      </c>
      <c r="B98" s="2" t="s">
        <v>144</v>
      </c>
      <c r="C98" s="2">
        <f>VLOOKUP($A98,'Estimates of the use of water ('!$A:$Q,5,FALSE)</f>
        <v>-1.0180000003856548E-6</v>
      </c>
      <c r="D98" s="2">
        <f>VLOOKUP($A98,'Estimates of the use of water ('!$A:$Q,6,FALSE)</f>
        <v>330.23699950000002</v>
      </c>
      <c r="E98" s="2">
        <f>VLOOKUP($A98,'Estimates of the use of water ('!$A:$Q,17,FALSE)</f>
        <v>0</v>
      </c>
    </row>
    <row r="99" spans="1:5">
      <c r="A99" s="2" t="s">
        <v>138</v>
      </c>
      <c r="B99" s="2" t="s">
        <v>143</v>
      </c>
      <c r="C99" s="2">
        <f>VLOOKUP($A99,'Estimates of the use of water ('!$A:$Q,5,FALSE)</f>
        <v>0.47027847999999894</v>
      </c>
      <c r="D99" s="2">
        <f>VLOOKUP($A99,'Estimates of the use of water ('!$A:$Q,6,FALSE)</f>
        <v>1310152.375</v>
      </c>
      <c r="E99" s="2">
        <f>VLOOKUP($A99,'Estimates of the use of water ('!$A:$Q,17,FALSE)</f>
        <v>0.64210055599999971</v>
      </c>
    </row>
    <row r="100" spans="1:5">
      <c r="A100" s="2" t="s">
        <v>140</v>
      </c>
      <c r="B100" s="2" t="s">
        <v>147</v>
      </c>
      <c r="C100" s="2">
        <f>VLOOKUP($A100,'Estimates of the use of water ('!$A:$Q,5,FALSE)</f>
        <v>0.77759933000000103</v>
      </c>
      <c r="D100" s="2">
        <f>VLOOKUP($A100,'Estimates of the use of water ('!$A:$Q,6,FALSE)</f>
        <v>258383.25</v>
      </c>
      <c r="E100" s="2">
        <f>VLOOKUP($A100,'Estimates of the use of water ('!$A:$Q,17,FALSE)</f>
        <v>1.0074342380000019</v>
      </c>
    </row>
    <row r="101" spans="1:5">
      <c r="A101" s="2" t="s">
        <v>146</v>
      </c>
      <c r="B101" s="2" t="s">
        <v>143</v>
      </c>
      <c r="C101" s="2">
        <f>VLOOKUP($A101,'Estimates of the use of water ('!$A:$Q,5,FALSE)</f>
        <v>0.13512985000000127</v>
      </c>
      <c r="D101" s="2">
        <f>VLOOKUP($A101,'Estimates of the use of water ('!$A:$Q,6,FALSE)</f>
        <v>78492.210940000004</v>
      </c>
      <c r="E101" s="2">
        <f>VLOOKUP($A101,'Estimates of the use of water ('!$A:$Q,17,FALSE)</f>
        <v>0.33324654600000087</v>
      </c>
    </row>
    <row r="102" spans="1:5">
      <c r="A102" s="2" t="s">
        <v>149</v>
      </c>
      <c r="B102" s="2" t="s">
        <v>145</v>
      </c>
      <c r="C102" s="2">
        <f>VLOOKUP($A102,'Estimates of the use of water ('!$A:$Q,5,FALSE)</f>
        <v>0.82246198999999931</v>
      </c>
      <c r="D102" s="2">
        <f>VLOOKUP($A102,'Estimates of the use of water ('!$A:$Q,6,FALSE)</f>
        <v>35572.269529999998</v>
      </c>
      <c r="E102" s="2">
        <f>VLOOKUP($A102,'Estimates of the use of water ('!$A:$Q,17,FALSE)</f>
        <v>2.0136873339999992</v>
      </c>
    </row>
    <row r="103" spans="1:5">
      <c r="A103" s="2" t="s">
        <v>151</v>
      </c>
      <c r="B103" s="2" t="s">
        <v>144</v>
      </c>
      <c r="C103" s="2">
        <f>VLOOKUP($A103,'Estimates of the use of water ('!$A:$Q,5,FALSE)</f>
        <v>5.5157040000011646E-3</v>
      </c>
      <c r="D103" s="2">
        <f>VLOOKUP($A103,'Estimates of the use of water ('!$A:$Q,6,FALSE)</f>
        <v>4652.419922</v>
      </c>
      <c r="E103" s="2">
        <f>VLOOKUP($A103,'Estimates of the use of water ('!$A:$Q,17,FALSE)</f>
        <v>2.3620912000001226E-2</v>
      </c>
    </row>
    <row r="104" spans="1:5">
      <c r="A104" s="2" t="s">
        <v>152</v>
      </c>
      <c r="B104" s="2" t="s">
        <v>144</v>
      </c>
      <c r="C104" s="2">
        <f>VLOOKUP($A104,'Estimates of the use of water ('!$A:$Q,5,FALSE)</f>
        <v>0</v>
      </c>
      <c r="D104" s="2">
        <f>VLOOKUP($A104,'Estimates of the use of water ('!$A:$Q,6,FALSE)</f>
        <v>83.232002260000002</v>
      </c>
      <c r="E104" s="2" t="str">
        <f>VLOOKUP($A104,'Estimates of the use of water ('!$A:$Q,17,FALSE)</f>
        <v>null</v>
      </c>
    </row>
    <row r="105" spans="1:5">
      <c r="A105" s="2" t="s">
        <v>153</v>
      </c>
      <c r="B105" s="2" t="s">
        <v>144</v>
      </c>
      <c r="C105" s="2">
        <f>VLOOKUP($A105,'Estimates of the use of water ('!$A:$Q,5,FALSE)</f>
        <v>-2.999999992425728E-7</v>
      </c>
      <c r="D105" s="2">
        <f>VLOOKUP($A105,'Estimates of the use of water ('!$A:$Q,6,FALSE)</f>
        <v>7978.4960940000001</v>
      </c>
      <c r="E105" s="2">
        <f>VLOOKUP($A105,'Estimates of the use of water ('!$A:$Q,17,FALSE)</f>
        <v>0</v>
      </c>
    </row>
    <row r="106" spans="1:5">
      <c r="A106" s="2" t="s">
        <v>154</v>
      </c>
      <c r="B106" s="2" t="s">
        <v>144</v>
      </c>
      <c r="C106" s="2">
        <f>VLOOKUP($A106,'Estimates of the use of water ('!$A:$Q,5,FALSE)</f>
        <v>0</v>
      </c>
      <c r="D106" s="2">
        <f>VLOOKUP($A106,'Estimates of the use of water ('!$A:$Q,6,FALSE)</f>
        <v>60578.488279999998</v>
      </c>
      <c r="E106" s="2" t="str">
        <f>VLOOKUP($A106,'Estimates of the use of water ('!$A:$Q,17,FALSE)</f>
        <v>null</v>
      </c>
    </row>
    <row r="107" spans="1:5">
      <c r="A107" s="2" t="s">
        <v>156</v>
      </c>
      <c r="B107" s="2" t="s">
        <v>150</v>
      </c>
      <c r="C107" s="2">
        <f>VLOOKUP($A107,'Estimates of the use of water ('!$A:$Q,5,FALSE)</f>
        <v>0.12262964200000112</v>
      </c>
      <c r="D107" s="2">
        <f>VLOOKUP($A107,'Estimates of the use of water ('!$A:$Q,6,FALSE)</f>
        <v>2891.0239259999998</v>
      </c>
      <c r="E107" s="2">
        <f>VLOOKUP($A107,'Estimates of the use of water ('!$A:$Q,17,FALSE)</f>
        <v>0.17984045199999912</v>
      </c>
    </row>
    <row r="108" spans="1:5">
      <c r="A108" s="2" t="s">
        <v>157</v>
      </c>
      <c r="B108" s="2" t="s">
        <v>147</v>
      </c>
      <c r="C108" s="2">
        <f>VLOOKUP($A108,'Estimates of the use of water ('!$A:$Q,5,FALSE)</f>
        <v>3.1221394000002078E-2</v>
      </c>
      <c r="D108" s="2">
        <f>VLOOKUP($A108,'Estimates of the use of water ('!$A:$Q,6,FALSE)</f>
        <v>127985.1406</v>
      </c>
      <c r="E108" s="2" t="str">
        <f>VLOOKUP($A108,'Estimates of the use of water ('!$A:$Q,17,FALSE)</f>
        <v>null</v>
      </c>
    </row>
    <row r="109" spans="1:5">
      <c r="A109" s="2" t="s">
        <v>158</v>
      </c>
      <c r="B109" s="2" t="s">
        <v>145</v>
      </c>
      <c r="C109" s="2">
        <f>VLOOKUP($A109,'Estimates of the use of water ('!$A:$Q,5,FALSE)</f>
        <v>-1.3296389999999292E-2</v>
      </c>
      <c r="D109" s="2">
        <f>VLOOKUP($A109,'Estimates of the use of water ('!$A:$Q,6,FALSE)</f>
        <v>9266.5732420000004</v>
      </c>
      <c r="E109" s="2">
        <f>VLOOKUP($A109,'Estimates of the use of water ('!$A:$Q,17,FALSE)</f>
        <v>-1.0167340000000991E-2</v>
      </c>
    </row>
    <row r="110" spans="1:5">
      <c r="A110" s="2" t="s">
        <v>159</v>
      </c>
      <c r="B110" s="2" t="s">
        <v>144</v>
      </c>
      <c r="C110" s="2">
        <f>VLOOKUP($A110,'Estimates of the use of water ('!$A:$Q,5,FALSE)</f>
        <v>8.1927182000001153E-2</v>
      </c>
      <c r="D110" s="2">
        <f>VLOOKUP($A110,'Estimates of the use of water ('!$A:$Q,6,FALSE)</f>
        <v>17572.009770000001</v>
      </c>
      <c r="E110" s="2">
        <f>VLOOKUP($A110,'Estimates of the use of water ('!$A:$Q,17,FALSE)</f>
        <v>0.23835090000000037</v>
      </c>
    </row>
    <row r="111" spans="1:5">
      <c r="A111" s="2" t="s">
        <v>160</v>
      </c>
      <c r="B111" s="2" t="s">
        <v>148</v>
      </c>
      <c r="C111" s="2">
        <f>VLOOKUP($A111,'Estimates of the use of water ('!$A:$Q,5,FALSE)</f>
        <v>0.6871927200000002</v>
      </c>
      <c r="D111" s="2">
        <f>VLOOKUP($A111,'Estimates of the use of water ('!$A:$Q,6,FALSE)</f>
        <v>47878.339840000001</v>
      </c>
      <c r="E111" s="2">
        <f>VLOOKUP($A111,'Estimates of the use of water ('!$A:$Q,17,FALSE)</f>
        <v>0.7015634039999995</v>
      </c>
    </row>
    <row r="112" spans="1:5">
      <c r="A112" s="2" t="s">
        <v>161</v>
      </c>
      <c r="B112" s="2" t="s">
        <v>147</v>
      </c>
      <c r="C112" s="2">
        <f>VLOOKUP($A112,'Estimates of the use of water ('!$A:$Q,5,FALSE)</f>
        <v>0.82456485200000029</v>
      </c>
      <c r="D112" s="2">
        <f>VLOOKUP($A112,'Estimates of the use of water ('!$A:$Q,6,FALSE)</f>
        <v>110.927002</v>
      </c>
      <c r="E112" s="2">
        <f>VLOOKUP($A112,'Estimates of the use of water ('!$A:$Q,17,FALSE)</f>
        <v>0.61438646000000008</v>
      </c>
    </row>
    <row r="113" spans="1:5">
      <c r="A113" s="2" t="s">
        <v>162</v>
      </c>
      <c r="B113" s="2" t="s">
        <v>145</v>
      </c>
      <c r="C113" s="2">
        <f>VLOOKUP($A113,'Estimates of the use of water ('!$A:$Q,5,FALSE)</f>
        <v>0</v>
      </c>
      <c r="D113" s="2">
        <f>VLOOKUP($A113,'Estimates of the use of water ('!$A:$Q,6,FALSE)</f>
        <v>3835.5878910000001</v>
      </c>
      <c r="E113" s="2" t="str">
        <f>VLOOKUP($A113,'Estimates of the use of water ('!$A:$Q,17,FALSE)</f>
        <v>null</v>
      </c>
    </row>
    <row r="114" spans="1:5">
      <c r="A114" s="2" t="s">
        <v>163</v>
      </c>
      <c r="B114" s="2" t="s">
        <v>144</v>
      </c>
      <c r="C114" s="2">
        <f>VLOOKUP($A114,'Estimates of the use of water ('!$A:$Q,5,FALSE)</f>
        <v>0.65150879400000006</v>
      </c>
      <c r="D114" s="2">
        <f>VLOOKUP($A114,'Estimates of the use of water ('!$A:$Q,6,FALSE)</f>
        <v>5959.1259769999997</v>
      </c>
      <c r="E114" s="2">
        <f>VLOOKUP($A114,'Estimates of the use of water ('!$A:$Q,17,FALSE)</f>
        <v>0.83064227200000007</v>
      </c>
    </row>
    <row r="115" spans="1:5">
      <c r="A115" s="2" t="s">
        <v>164</v>
      </c>
      <c r="B115" s="2" t="s">
        <v>147</v>
      </c>
      <c r="C115" s="2">
        <f>VLOOKUP($A115,'Estimates of the use of water ('!$A:$Q,5,FALSE)</f>
        <v>1.551834194</v>
      </c>
      <c r="D115" s="2">
        <f>VLOOKUP($A115,'Estimates of the use of water ('!$A:$Q,6,FALSE)</f>
        <v>6741.1601559999999</v>
      </c>
      <c r="E115" s="2">
        <f>VLOOKUP($A115,'Estimates of the use of water ('!$A:$Q,17,FALSE)</f>
        <v>1.6466545739999987</v>
      </c>
    </row>
    <row r="116" spans="1:5">
      <c r="A116" s="2" t="s">
        <v>165</v>
      </c>
      <c r="B116" s="2" t="s">
        <v>144</v>
      </c>
      <c r="C116" s="2">
        <f>VLOOKUP($A116,'Estimates of the use of water ('!$A:$Q,5,FALSE)</f>
        <v>5.14967740000003E-2</v>
      </c>
      <c r="D116" s="2">
        <f>VLOOKUP($A116,'Estimates of the use of water ('!$A:$Q,6,FALSE)</f>
        <v>1997.6750489999999</v>
      </c>
      <c r="E116" s="2">
        <f>VLOOKUP($A116,'Estimates of the use of water ('!$A:$Q,17,FALSE)</f>
        <v>0.14490082599999993</v>
      </c>
    </row>
    <row r="117" spans="1:5">
      <c r="A117" s="2" t="s">
        <v>166</v>
      </c>
      <c r="B117" s="2" t="s">
        <v>145</v>
      </c>
      <c r="C117" s="2">
        <f>VLOOKUP($A117,'Estimates of the use of water ('!$A:$Q,5,FALSE)</f>
        <v>0.2751354980000002</v>
      </c>
      <c r="D117" s="2">
        <f>VLOOKUP($A117,'Estimates of the use of water ('!$A:$Q,6,FALSE)</f>
        <v>6532.6811520000001</v>
      </c>
      <c r="E117" s="2" t="str">
        <f>VLOOKUP($A117,'Estimates of the use of water ('!$A:$Q,17,FALSE)</f>
        <v>null</v>
      </c>
    </row>
    <row r="118" spans="1:5">
      <c r="A118" s="2" t="s">
        <v>167</v>
      </c>
      <c r="B118" s="2" t="s">
        <v>148</v>
      </c>
      <c r="C118" s="2">
        <f>VLOOKUP($A118,'Estimates of the use of water ('!$A:$Q,5,FALSE)</f>
        <v>0.32606997400000071</v>
      </c>
      <c r="D118" s="2">
        <f>VLOOKUP($A118,'Estimates of the use of water ('!$A:$Q,6,FALSE)</f>
        <v>2059.0109859999998</v>
      </c>
      <c r="E118" s="2">
        <f>VLOOKUP($A118,'Estimates of the use of water ('!$A:$Q,17,FALSE)</f>
        <v>4.5894333999999051E-2</v>
      </c>
    </row>
    <row r="119" spans="1:5">
      <c r="A119" s="2" t="s">
        <v>168</v>
      </c>
      <c r="B119" s="2" t="s">
        <v>148</v>
      </c>
      <c r="C119" s="2">
        <f>VLOOKUP($A119,'Estimates of the use of water ('!$A:$Q,5,FALSE)</f>
        <v>0.53839992999999997</v>
      </c>
      <c r="D119" s="2">
        <f>VLOOKUP($A119,'Estimates of the use of water ('!$A:$Q,6,FALSE)</f>
        <v>4472.2290039999998</v>
      </c>
      <c r="E119" s="2">
        <f>VLOOKUP($A119,'Estimates of the use of water ('!$A:$Q,17,FALSE)</f>
        <v>0.56740698600000028</v>
      </c>
    </row>
    <row r="120" spans="1:5">
      <c r="A120" s="2" t="s">
        <v>169</v>
      </c>
      <c r="B120" s="2" t="s">
        <v>148</v>
      </c>
      <c r="C120" s="2">
        <f>VLOOKUP($A120,'Estimates of the use of water ('!$A:$Q,5,FALSE)</f>
        <v>0.52198172800000009</v>
      </c>
      <c r="D120" s="2">
        <f>VLOOKUP($A120,'Estimates of the use of water ('!$A:$Q,6,FALSE)</f>
        <v>6418.3149409999996</v>
      </c>
      <c r="E120" s="2" t="str">
        <f>VLOOKUP($A120,'Estimates of the use of water ('!$A:$Q,17,FALSE)</f>
        <v>null</v>
      </c>
    </row>
    <row r="121" spans="1:5">
      <c r="A121" s="2" t="s">
        <v>170</v>
      </c>
      <c r="B121" s="2" t="s">
        <v>144</v>
      </c>
      <c r="C121" s="2">
        <f>VLOOKUP($A121,'Estimates of the use of water ('!$A:$Q,5,FALSE)</f>
        <v>0</v>
      </c>
      <c r="D121" s="2">
        <f>VLOOKUP($A121,'Estimates of the use of water ('!$A:$Q,6,FALSE)</f>
        <v>37.465000150000002</v>
      </c>
      <c r="E121" s="2" t="str">
        <f>VLOOKUP($A121,'Estimates of the use of water ('!$A:$Q,17,FALSE)</f>
        <v>null</v>
      </c>
    </row>
    <row r="122" spans="1:5">
      <c r="A122" s="2" t="s">
        <v>171</v>
      </c>
      <c r="B122" s="2" t="s">
        <v>144</v>
      </c>
      <c r="C122" s="2">
        <f>VLOOKUP($A122,'Estimates of the use of water ('!$A:$Q,5,FALSE)</f>
        <v>0.2818417320000009</v>
      </c>
      <c r="D122" s="2">
        <f>VLOOKUP($A122,'Estimates of the use of water ('!$A:$Q,6,FALSE)</f>
        <v>2931.8720699999999</v>
      </c>
      <c r="E122" s="2">
        <f>VLOOKUP($A122,'Estimates of the use of water ('!$A:$Q,17,FALSE)</f>
        <v>0.61285916399999962</v>
      </c>
    </row>
    <row r="123" spans="1:5">
      <c r="A123" s="2" t="s">
        <v>172</v>
      </c>
      <c r="B123" s="2" t="s">
        <v>144</v>
      </c>
      <c r="C123" s="2">
        <f>VLOOKUP($A123,'Estimates of the use of water ('!$A:$Q,5,FALSE)</f>
        <v>-9.0476240000015203E-3</v>
      </c>
      <c r="D123" s="2">
        <f>VLOOKUP($A123,'Estimates of the use of water ('!$A:$Q,6,FALSE)</f>
        <v>566.74102779999998</v>
      </c>
      <c r="E123" s="2">
        <f>VLOOKUP($A123,'Estimates of the use of water ('!$A:$Q,17,FALSE)</f>
        <v>-0.12857142800000076</v>
      </c>
    </row>
    <row r="124" spans="1:5">
      <c r="A124" s="2" t="s">
        <v>173</v>
      </c>
      <c r="B124" s="2" t="s">
        <v>148</v>
      </c>
      <c r="C124" s="2">
        <f>VLOOKUP($A124,'Estimates of the use of water ('!$A:$Q,5,FALSE)</f>
        <v>0.89882227399999981</v>
      </c>
      <c r="D124" s="2">
        <f>VLOOKUP($A124,'Estimates of the use of water ('!$A:$Q,6,FALSE)</f>
        <v>24234.08008</v>
      </c>
      <c r="E124" s="2">
        <f>VLOOKUP($A124,'Estimates of the use of water ('!$A:$Q,17,FALSE)</f>
        <v>0.6523685099999994</v>
      </c>
    </row>
    <row r="125" spans="1:5">
      <c r="A125" s="2" t="s">
        <v>174</v>
      </c>
      <c r="B125" s="2" t="s">
        <v>148</v>
      </c>
      <c r="C125" s="2">
        <f>VLOOKUP($A125,'Estimates of the use of water ('!$A:$Q,5,FALSE)</f>
        <v>0.77855387399999931</v>
      </c>
      <c r="D125" s="2">
        <f>VLOOKUP($A125,'Estimates of the use of water ('!$A:$Q,6,FALSE)</f>
        <v>16745.304690000001</v>
      </c>
      <c r="E125" s="2">
        <f>VLOOKUP($A125,'Estimates of the use of water ('!$A:$Q,17,FALSE)</f>
        <v>0.8688870240000014</v>
      </c>
    </row>
    <row r="126" spans="1:5">
      <c r="A126" s="2" t="s">
        <v>175</v>
      </c>
      <c r="B126" s="2" t="s">
        <v>143</v>
      </c>
      <c r="C126" s="2">
        <f>VLOOKUP($A126,'Estimates of the use of water ('!$A:$Q,5,FALSE)</f>
        <v>9.5409020000005278E-3</v>
      </c>
      <c r="D126" s="2">
        <f>VLOOKUP($A126,'Estimates of the use of water ('!$A:$Q,6,FALSE)</f>
        <v>30270.964840000001</v>
      </c>
      <c r="E126" s="2">
        <f>VLOOKUP($A126,'Estimates of the use of water ('!$A:$Q,17,FALSE)</f>
        <v>-0.14417221999999869</v>
      </c>
    </row>
    <row r="127" spans="1:5">
      <c r="A127" s="2" t="s">
        <v>176</v>
      </c>
      <c r="B127" s="2" t="s">
        <v>143</v>
      </c>
      <c r="C127" s="2">
        <f>VLOOKUP($A127,'Estimates of the use of water ('!$A:$Q,5,FALSE)</f>
        <v>0.14603886200000032</v>
      </c>
      <c r="D127" s="2">
        <f>VLOOKUP($A127,'Estimates of the use of water ('!$A:$Q,6,FALSE)</f>
        <v>454.91400149999998</v>
      </c>
      <c r="E127" s="2">
        <f>VLOOKUP($A127,'Estimates of the use of water ('!$A:$Q,17,FALSE)</f>
        <v>0.2078626459999981</v>
      </c>
    </row>
    <row r="128" spans="1:5">
      <c r="A128" s="2" t="s">
        <v>177</v>
      </c>
      <c r="B128" s="2" t="s">
        <v>148</v>
      </c>
      <c r="C128" s="2">
        <f>VLOOKUP($A128,'Estimates of the use of water ('!$A:$Q,5,FALSE)</f>
        <v>1.6295557619999983</v>
      </c>
      <c r="D128" s="2">
        <f>VLOOKUP($A128,'Estimates of the use of water ('!$A:$Q,6,FALSE)</f>
        <v>17438.771479999999</v>
      </c>
      <c r="E128" s="2">
        <f>VLOOKUP($A128,'Estimates of the use of water ('!$A:$Q,17,FALSE)</f>
        <v>1.7370362359999987</v>
      </c>
    </row>
    <row r="129" spans="1:5">
      <c r="A129" s="2" t="s">
        <v>178</v>
      </c>
      <c r="B129" s="2" t="s">
        <v>144</v>
      </c>
      <c r="C129" s="2">
        <f>VLOOKUP($A129,'Estimates of the use of water ('!$A:$Q,5,FALSE)</f>
        <v>8.0000000934887789E-8</v>
      </c>
      <c r="D129" s="2">
        <f>VLOOKUP($A129,'Estimates of the use of water ('!$A:$Q,6,FALSE)</f>
        <v>433.55899049999999</v>
      </c>
      <c r="E129" s="2">
        <f>VLOOKUP($A129,'Estimates of the use of water ('!$A:$Q,17,FALSE)</f>
        <v>0</v>
      </c>
    </row>
    <row r="130" spans="1:5">
      <c r="A130" s="2" t="s">
        <v>179</v>
      </c>
      <c r="B130" s="2" t="s">
        <v>147</v>
      </c>
      <c r="C130" s="2">
        <f>VLOOKUP($A130,'Estimates of the use of water ('!$A:$Q,5,FALSE)</f>
        <v>4.5904672000000347E-2</v>
      </c>
      <c r="D130" s="2">
        <f>VLOOKUP($A130,'Estimates of the use of water ('!$A:$Q,6,FALSE)</f>
        <v>57.444000240000001</v>
      </c>
      <c r="E130" s="2">
        <f>VLOOKUP($A130,'Estimates of the use of water ('!$A:$Q,17,FALSE)</f>
        <v>3.0271999999999365E-2</v>
      </c>
    </row>
    <row r="131" spans="1:5">
      <c r="A131" s="2" t="s">
        <v>180</v>
      </c>
      <c r="B131" s="2" t="s">
        <v>150</v>
      </c>
      <c r="C131" s="2">
        <f>VLOOKUP($A131,'Estimates of the use of water ('!$A:$Q,5,FALSE)</f>
        <v>9.1881559999990262E-3</v>
      </c>
      <c r="D131" s="2">
        <f>VLOOKUP($A131,'Estimates of the use of water ('!$A:$Q,6,FALSE)</f>
        <v>378.48300169999999</v>
      </c>
      <c r="E131" s="2" t="str">
        <f>VLOOKUP($A131,'Estimates of the use of water ('!$A:$Q,17,FALSE)</f>
        <v>null</v>
      </c>
    </row>
    <row r="132" spans="1:5">
      <c r="A132" s="2" t="s">
        <v>181</v>
      </c>
      <c r="B132" s="2" t="s">
        <v>148</v>
      </c>
      <c r="C132" s="2">
        <f>VLOOKUP($A132,'Estimates of the use of water ('!$A:$Q,5,FALSE)</f>
        <v>0.94154796599999879</v>
      </c>
      <c r="D132" s="2">
        <f>VLOOKUP($A132,'Estimates of the use of water ('!$A:$Q,6,FALSE)</f>
        <v>4046.3039549999999</v>
      </c>
      <c r="E132" s="2">
        <f>VLOOKUP($A132,'Estimates of the use of water ('!$A:$Q,17,FALSE)</f>
        <v>0.64369934399999951</v>
      </c>
    </row>
    <row r="133" spans="1:5">
      <c r="A133" s="2" t="s">
        <v>182</v>
      </c>
      <c r="B133" s="2" t="s">
        <v>148</v>
      </c>
      <c r="C133" s="2">
        <f>VLOOKUP($A133,'Estimates of the use of water ('!$A:$Q,5,FALSE)</f>
        <v>-4.5424000001048624E-5</v>
      </c>
      <c r="D133" s="2">
        <f>VLOOKUP($A133,'Estimates of the use of water ('!$A:$Q,6,FALSE)</f>
        <v>1259.4570309999999</v>
      </c>
      <c r="E133" s="2">
        <f>VLOOKUP($A133,'Estimates of the use of water ('!$A:$Q,17,FALSE)</f>
        <v>0</v>
      </c>
    </row>
    <row r="134" spans="1:5">
      <c r="A134" s="2" t="s">
        <v>183</v>
      </c>
      <c r="B134" s="2" t="s">
        <v>148</v>
      </c>
      <c r="C134" s="2">
        <f>VLOOKUP($A134,'Estimates of the use of water ('!$A:$Q,5,FALSE)</f>
        <v>-9.3326313999997981E-2</v>
      </c>
      <c r="D134" s="2">
        <f>VLOOKUP($A134,'Estimates of the use of water ('!$A:$Q,6,FALSE)</f>
        <v>240.01100159999999</v>
      </c>
      <c r="E134" s="2" t="str">
        <f>VLOOKUP($A134,'Estimates of the use of water ('!$A:$Q,17,FALSE)</f>
        <v>null</v>
      </c>
    </row>
    <row r="135" spans="1:5">
      <c r="A135" s="2" t="s">
        <v>184</v>
      </c>
      <c r="B135" s="2" t="s">
        <v>150</v>
      </c>
      <c r="C135" s="2">
        <f>VLOOKUP($A135,'Estimates of the use of water ('!$A:$Q,5,FALSE)</f>
        <v>0.33082494800000006</v>
      </c>
      <c r="D135" s="2">
        <f>VLOOKUP($A135,'Estimates of the use of water ('!$A:$Q,6,FALSE)</f>
        <v>121858.25</v>
      </c>
      <c r="E135" s="2">
        <f>VLOOKUP($A135,'Estimates of the use of water ('!$A:$Q,17,FALSE)</f>
        <v>1.0100749799999988</v>
      </c>
    </row>
    <row r="136" spans="1:5">
      <c r="A136" s="2" t="s">
        <v>185</v>
      </c>
      <c r="B136" s="2" t="s">
        <v>147</v>
      </c>
      <c r="C136" s="2">
        <f>VLOOKUP($A136,'Estimates of the use of water ('!$A:$Q,5,FALSE)</f>
        <v>0</v>
      </c>
      <c r="D136" s="2">
        <f>VLOOKUP($A136,'Estimates of the use of water ('!$A:$Q,6,FALSE)</f>
        <v>108.8860016</v>
      </c>
      <c r="E136" s="2" t="str">
        <f>VLOOKUP($A136,'Estimates of the use of water ('!$A:$Q,17,FALSE)</f>
        <v>null</v>
      </c>
    </row>
    <row r="137" spans="1:5">
      <c r="A137" s="2" t="s">
        <v>186</v>
      </c>
      <c r="B137" s="2" t="s">
        <v>144</v>
      </c>
      <c r="C137" s="2">
        <f>VLOOKUP($A137,'Estimates of the use of water ('!$A:$Q,5,FALSE)</f>
        <v>0</v>
      </c>
      <c r="D137" s="2">
        <f>VLOOKUP($A137,'Estimates of the use of water ('!$A:$Q,6,FALSE)</f>
        <v>37.722999569999999</v>
      </c>
      <c r="E137" s="2" t="str">
        <f>VLOOKUP($A137,'Estimates of the use of water ('!$A:$Q,17,FALSE)</f>
        <v>null</v>
      </c>
    </row>
    <row r="138" spans="1:5">
      <c r="A138" s="2" t="s">
        <v>187</v>
      </c>
      <c r="B138" s="2" t="s">
        <v>147</v>
      </c>
      <c r="C138" s="2">
        <f>VLOOKUP($A138,'Estimates of the use of water ('!$A:$Q,5,FALSE)</f>
        <v>0.93652263600000085</v>
      </c>
      <c r="D138" s="2">
        <f>VLOOKUP($A138,'Estimates of the use of water ('!$A:$Q,6,FALSE)</f>
        <v>2998.4331050000001</v>
      </c>
      <c r="E138" s="2">
        <f>VLOOKUP($A138,'Estimates of the use of water ('!$A:$Q,17,FALSE)</f>
        <v>1.7953726259999996</v>
      </c>
    </row>
    <row r="139" spans="1:5">
      <c r="A139" s="2" t="s">
        <v>188</v>
      </c>
      <c r="B139" s="2" t="s">
        <v>144</v>
      </c>
      <c r="C139" s="2">
        <f>VLOOKUP($A139,'Estimates of the use of water ('!$A:$Q,5,FALSE)</f>
        <v>0.29312423000000082</v>
      </c>
      <c r="D139" s="2">
        <f>VLOOKUP($A139,'Estimates of the use of water ('!$A:$Q,6,FALSE)</f>
        <v>626.9569702</v>
      </c>
      <c r="E139" s="2">
        <f>VLOOKUP($A139,'Estimates of the use of water ('!$A:$Q,17,FALSE)</f>
        <v>0.44024507199999902</v>
      </c>
    </row>
    <row r="140" spans="1:5">
      <c r="A140" s="2" t="s">
        <v>189</v>
      </c>
      <c r="B140" s="2" t="s">
        <v>150</v>
      </c>
      <c r="C140" s="2">
        <f>VLOOKUP($A140,'Estimates of the use of water ('!$A:$Q,5,FALSE)</f>
        <v>1.3324119999992945E-3</v>
      </c>
      <c r="D140" s="2">
        <f>VLOOKUP($A140,'Estimates of the use of water ('!$A:$Q,6,FALSE)</f>
        <v>4.9660000799999997</v>
      </c>
      <c r="E140" s="2" t="str">
        <f>VLOOKUP($A140,'Estimates of the use of water ('!$A:$Q,17,FALSE)</f>
        <v>null</v>
      </c>
    </row>
    <row r="141" spans="1:5">
      <c r="A141" s="2" t="s">
        <v>190</v>
      </c>
      <c r="B141" s="2" t="s">
        <v>145</v>
      </c>
      <c r="C141" s="2">
        <f>VLOOKUP($A141,'Estimates of the use of water ('!$A:$Q,5,FALSE)</f>
        <v>1.3302423599999997</v>
      </c>
      <c r="D141" s="2">
        <f>VLOOKUP($A141,'Estimates of the use of water ('!$A:$Q,6,FALSE)</f>
        <v>34663.609380000002</v>
      </c>
      <c r="E141" s="2">
        <f>VLOOKUP($A141,'Estimates of the use of water ('!$A:$Q,17,FALSE)</f>
        <v>2.6347200439999994</v>
      </c>
    </row>
    <row r="142" spans="1:5">
      <c r="A142" s="2" t="s">
        <v>191</v>
      </c>
      <c r="B142" s="2" t="s">
        <v>148</v>
      </c>
      <c r="C142" s="2">
        <f>VLOOKUP($A142,'Estimates of the use of water ('!$A:$Q,5,FALSE)</f>
        <v>2.4386500840000012</v>
      </c>
      <c r="D142" s="2">
        <f>VLOOKUP($A142,'Estimates of the use of water ('!$A:$Q,6,FALSE)</f>
        <v>27042.001950000002</v>
      </c>
      <c r="E142" s="2">
        <f>VLOOKUP($A142,'Estimates of the use of water ('!$A:$Q,17,FALSE)</f>
        <v>2.5790615479999999</v>
      </c>
    </row>
    <row r="143" spans="1:5">
      <c r="A143" s="2" t="s">
        <v>192</v>
      </c>
      <c r="B143" s="2" t="s">
        <v>147</v>
      </c>
      <c r="C143" s="2">
        <f>VLOOKUP($A143,'Estimates of the use of water ('!$A:$Q,5,FALSE)</f>
        <v>2.0261442820000015</v>
      </c>
      <c r="D143" s="2">
        <f>VLOOKUP($A143,'Estimates of the use of water ('!$A:$Q,6,FALSE)</f>
        <v>52680.722659999999</v>
      </c>
      <c r="E143" s="2">
        <f>VLOOKUP($A143,'Estimates of the use of water ('!$A:$Q,17,FALSE)</f>
        <v>2.2345902300000007</v>
      </c>
    </row>
    <row r="144" spans="1:5">
      <c r="A144" s="2" t="s">
        <v>193</v>
      </c>
      <c r="B144" s="2" t="s">
        <v>148</v>
      </c>
      <c r="C144" s="2">
        <f>VLOOKUP($A144,'Estimates of the use of water ('!$A:$Q,5,FALSE)</f>
        <v>0.34918022599999859</v>
      </c>
      <c r="D144" s="2">
        <f>VLOOKUP($A144,'Estimates of the use of water ('!$A:$Q,6,FALSE)</f>
        <v>2314.9008789999998</v>
      </c>
      <c r="E144" s="2">
        <f>VLOOKUP($A144,'Estimates of the use of water ('!$A:$Q,17,FALSE)</f>
        <v>0.22302721000000075</v>
      </c>
    </row>
    <row r="145" spans="1:5">
      <c r="A145" s="2" t="s">
        <v>194</v>
      </c>
      <c r="B145" s="2" t="s">
        <v>147</v>
      </c>
      <c r="C145" s="2">
        <f>VLOOKUP($A145,'Estimates of the use of water ('!$A:$Q,5,FALSE)</f>
        <v>0</v>
      </c>
      <c r="D145" s="2">
        <f>VLOOKUP($A145,'Estimates of the use of water ('!$A:$Q,6,FALSE)</f>
        <v>10.373999599999999</v>
      </c>
      <c r="E145" s="2" t="str">
        <f>VLOOKUP($A145,'Estimates of the use of water ('!$A:$Q,17,FALSE)</f>
        <v>null</v>
      </c>
    </row>
    <row r="146" spans="1:5">
      <c r="A146" s="2" t="s">
        <v>195</v>
      </c>
      <c r="B146" s="2" t="s">
        <v>143</v>
      </c>
      <c r="C146" s="2">
        <f>VLOOKUP($A146,'Estimates of the use of water ('!$A:$Q,5,FALSE)</f>
        <v>0.45321483999999829</v>
      </c>
      <c r="D146" s="2">
        <f>VLOOKUP($A146,'Estimates of the use of water ('!$A:$Q,6,FALSE)</f>
        <v>27015.033200000002</v>
      </c>
      <c r="E146" s="2">
        <f>VLOOKUP($A146,'Estimates of the use of water ('!$A:$Q,17,FALSE)</f>
        <v>0.59225840200000168</v>
      </c>
    </row>
    <row r="147" spans="1:5">
      <c r="A147" s="2" t="s">
        <v>196</v>
      </c>
      <c r="B147" s="2" t="s">
        <v>144</v>
      </c>
      <c r="C147" s="2">
        <f>VLOOKUP($A147,'Estimates of the use of water ('!$A:$Q,5,FALSE)</f>
        <v>1.4600000213249588E-7</v>
      </c>
      <c r="D147" s="2">
        <f>VLOOKUP($A147,'Estimates of the use of water ('!$A:$Q,6,FALSE)</f>
        <v>16938.492190000001</v>
      </c>
      <c r="E147" s="2">
        <f>VLOOKUP($A147,'Estimates of the use of water ('!$A:$Q,17,FALSE)</f>
        <v>0</v>
      </c>
    </row>
    <row r="148" spans="1:5">
      <c r="A148" s="2" t="s">
        <v>197</v>
      </c>
      <c r="B148" s="2" t="s">
        <v>147</v>
      </c>
      <c r="C148" s="2">
        <f>VLOOKUP($A148,'Estimates of the use of water ('!$A:$Q,5,FALSE)</f>
        <v>0.23335241600000245</v>
      </c>
      <c r="D148" s="2">
        <f>VLOOKUP($A148,'Estimates of the use of water ('!$A:$Q,6,FALSE)</f>
        <v>271.06201170000003</v>
      </c>
      <c r="E148" s="2" t="str">
        <f>VLOOKUP($A148,'Estimates of the use of water ('!$A:$Q,17,FALSE)</f>
        <v>null</v>
      </c>
    </row>
    <row r="149" spans="1:5">
      <c r="A149" s="2" t="s">
        <v>198</v>
      </c>
      <c r="B149" s="2" t="s">
        <v>147</v>
      </c>
      <c r="C149" s="2">
        <f>VLOOKUP($A149,'Estimates of the use of water ('!$A:$Q,5,FALSE)</f>
        <v>7.8999999857387589E-7</v>
      </c>
      <c r="D149" s="2">
        <f>VLOOKUP($A149,'Estimates of the use of water ('!$A:$Q,6,FALSE)</f>
        <v>4614.5268550000001</v>
      </c>
      <c r="E149" s="2">
        <f>VLOOKUP($A149,'Estimates of the use of water ('!$A:$Q,17,FALSE)</f>
        <v>0</v>
      </c>
    </row>
    <row r="150" spans="1:5">
      <c r="A150" s="2" t="s">
        <v>199</v>
      </c>
      <c r="B150" s="2" t="s">
        <v>150</v>
      </c>
      <c r="C150" s="2">
        <f>VLOOKUP($A150,'Estimates of the use of water ('!$A:$Q,5,FALSE)</f>
        <v>7.11250519999993E-2</v>
      </c>
      <c r="D150" s="2">
        <f>VLOOKUP($A150,'Estimates of the use of water ('!$A:$Q,6,FALSE)</f>
        <v>6223.2338870000003</v>
      </c>
      <c r="E150" s="2">
        <f>VLOOKUP($A150,'Estimates of the use of water ('!$A:$Q,17,FALSE)</f>
        <v>-7.9442242000000357E-2</v>
      </c>
    </row>
    <row r="151" spans="1:5">
      <c r="A151" s="2" t="s">
        <v>200</v>
      </c>
      <c r="B151" s="2" t="s">
        <v>148</v>
      </c>
      <c r="C151" s="2">
        <f>VLOOKUP($A151,'Estimates of the use of water ('!$A:$Q,5,FALSE)</f>
        <v>0.28586788200000085</v>
      </c>
      <c r="D151" s="2">
        <f>VLOOKUP($A151,'Estimates of the use of water ('!$A:$Q,6,FALSE)</f>
        <v>20001.662110000001</v>
      </c>
      <c r="E151" s="2">
        <f>VLOOKUP($A151,'Estimates of the use of water ('!$A:$Q,17,FALSE)</f>
        <v>0.36484353399999919</v>
      </c>
    </row>
    <row r="152" spans="1:5">
      <c r="A152" s="2" t="s">
        <v>201</v>
      </c>
      <c r="B152" s="2" t="s">
        <v>148</v>
      </c>
      <c r="C152" s="2">
        <f>VLOOKUP($A152,'Estimates of the use of water ('!$A:$Q,5,FALSE)</f>
        <v>1.7658595840000004</v>
      </c>
      <c r="D152" s="2">
        <f>VLOOKUP($A152,'Estimates of the use of water ('!$A:$Q,6,FALSE)</f>
        <v>181137.45310000001</v>
      </c>
      <c r="E152" s="2">
        <f>VLOOKUP($A152,'Estimates of the use of water ('!$A:$Q,17,FALSE)</f>
        <v>1.6331522059999997</v>
      </c>
    </row>
    <row r="153" spans="1:5">
      <c r="A153" s="2" t="s">
        <v>202</v>
      </c>
      <c r="B153" s="2" t="s">
        <v>147</v>
      </c>
      <c r="C153" s="2">
        <f>VLOOKUP($A153,'Estimates of the use of water ('!$A:$Q,5,FALSE)</f>
        <v>-0.1190526460000001</v>
      </c>
      <c r="D153" s="2">
        <f>VLOOKUP($A153,'Estimates of the use of water ('!$A:$Q,6,FALSE)</f>
        <v>1.6100000139999999</v>
      </c>
      <c r="E153" s="2" t="str">
        <f>VLOOKUP($A153,'Estimates of the use of water ('!$A:$Q,17,FALSE)</f>
        <v>null</v>
      </c>
    </row>
    <row r="154" spans="1:5">
      <c r="A154" s="2" t="s">
        <v>203</v>
      </c>
      <c r="B154" s="2" t="s">
        <v>144</v>
      </c>
      <c r="C154" s="2">
        <f>VLOOKUP($A154,'Estimates of the use of water ('!$A:$Q,5,FALSE)</f>
        <v>5.4096591999999076E-2</v>
      </c>
      <c r="D154" s="2">
        <f>VLOOKUP($A154,'Estimates of the use of water ('!$A:$Q,6,FALSE)</f>
        <v>2079.334961</v>
      </c>
      <c r="E154" s="2">
        <f>VLOOKUP($A154,'Estimates of the use of water ('!$A:$Q,17,FALSE)</f>
        <v>-3.2903711999998107E-2</v>
      </c>
    </row>
    <row r="155" spans="1:5">
      <c r="A155" s="2" t="s">
        <v>204</v>
      </c>
      <c r="B155" s="2" t="s">
        <v>147</v>
      </c>
      <c r="C155" s="2">
        <f>VLOOKUP($A155,'Estimates of the use of water ('!$A:$Q,5,FALSE)</f>
        <v>3.9633220000013123E-3</v>
      </c>
      <c r="D155" s="2">
        <f>VLOOKUP($A155,'Estimates of the use of water ('!$A:$Q,6,FALSE)</f>
        <v>55.778999329999998</v>
      </c>
      <c r="E155" s="2" t="str">
        <f>VLOOKUP($A155,'Estimates of the use of water ('!$A:$Q,17,FALSE)</f>
        <v>null</v>
      </c>
    </row>
    <row r="156" spans="1:5">
      <c r="A156" s="2" t="s">
        <v>205</v>
      </c>
      <c r="B156" s="2" t="s">
        <v>144</v>
      </c>
      <c r="C156" s="2">
        <f>VLOOKUP($A156,'Estimates of the use of water ('!$A:$Q,5,FALSE)</f>
        <v>-1.1400000005323819E-6</v>
      </c>
      <c r="D156" s="2">
        <f>VLOOKUP($A156,'Estimates of the use of water ('!$A:$Q,6,FALSE)</f>
        <v>5199.8271480000003</v>
      </c>
      <c r="E156" s="2">
        <f>VLOOKUP($A156,'Estimates of the use of water ('!$A:$Q,17,FALSE)</f>
        <v>0</v>
      </c>
    </row>
    <row r="157" spans="1:5">
      <c r="A157" s="2" t="s">
        <v>206</v>
      </c>
      <c r="B157" s="2" t="s">
        <v>145</v>
      </c>
      <c r="C157" s="2">
        <f>VLOOKUP($A157,'Estimates of the use of water ('!$A:$Q,5,FALSE)</f>
        <v>0.38590781000000052</v>
      </c>
      <c r="D157" s="2">
        <f>VLOOKUP($A157,'Estimates of the use of water ('!$A:$Q,6,FALSE)</f>
        <v>4267.3408200000003</v>
      </c>
      <c r="E157" s="2">
        <f>VLOOKUP($A157,'Estimates of the use of water ('!$A:$Q,17,FALSE)</f>
        <v>0.37677429000000018</v>
      </c>
    </row>
    <row r="158" spans="1:5">
      <c r="A158" s="2" t="s">
        <v>207</v>
      </c>
      <c r="B158" s="2" t="s">
        <v>143</v>
      </c>
      <c r="C158" s="2">
        <f>VLOOKUP($A158,'Estimates of the use of water ('!$A:$Q,5,FALSE)</f>
        <v>0.13879654799999913</v>
      </c>
      <c r="D158" s="2">
        <f>VLOOKUP($A158,'Estimates of the use of water ('!$A:$Q,6,FALSE)</f>
        <v>199426.95310000001</v>
      </c>
      <c r="E158" s="2">
        <f>VLOOKUP($A158,'Estimates of the use of water ('!$A:$Q,17,FALSE)</f>
        <v>0.28978079999999978</v>
      </c>
    </row>
    <row r="159" spans="1:5">
      <c r="A159" s="2" t="s">
        <v>208</v>
      </c>
      <c r="B159" s="2" t="s">
        <v>147</v>
      </c>
      <c r="C159" s="2">
        <f>VLOOKUP($A159,'Estimates of the use of water ('!$A:$Q,5,FALSE)</f>
        <v>5.4789299999981724E-3</v>
      </c>
      <c r="D159" s="2">
        <f>VLOOKUP($A159,'Estimates of the use of water ('!$A:$Q,6,FALSE)</f>
        <v>17.665000920000001</v>
      </c>
      <c r="E159" s="2">
        <f>VLOOKUP($A159,'Estimates of the use of water ('!$A:$Q,17,FALSE)</f>
        <v>2.8622709999999073E-2</v>
      </c>
    </row>
    <row r="160" spans="1:5">
      <c r="A160" s="2" t="s">
        <v>209</v>
      </c>
      <c r="B160" s="2" t="s">
        <v>150</v>
      </c>
      <c r="C160" s="2">
        <f>VLOOKUP($A160,'Estimates of the use of water ('!$A:$Q,5,FALSE)</f>
        <v>0.29363575000000142</v>
      </c>
      <c r="D160" s="2">
        <f>VLOOKUP($A160,'Estimates of the use of water ('!$A:$Q,6,FALSE)</f>
        <v>3968.48999</v>
      </c>
      <c r="E160" s="2">
        <f>VLOOKUP($A160,'Estimates of the use of water ('!$A:$Q,17,FALSE)</f>
        <v>0.52870074600000128</v>
      </c>
    </row>
    <row r="161" spans="1:5">
      <c r="A161" s="2" t="s">
        <v>210</v>
      </c>
      <c r="B161" s="2" t="s">
        <v>147</v>
      </c>
      <c r="C161" s="2">
        <f>VLOOKUP($A161,'Estimates of the use of water ('!$A:$Q,5,FALSE)</f>
        <v>0.77170181600000087</v>
      </c>
      <c r="D161" s="2">
        <f>VLOOKUP($A161,'Estimates of the use of water ('!$A:$Q,6,FALSE)</f>
        <v>8107.7719729999999</v>
      </c>
      <c r="E161" s="2">
        <f>VLOOKUP($A161,'Estimates of the use of water ('!$A:$Q,17,FALSE)</f>
        <v>0.81614213399999902</v>
      </c>
    </row>
    <row r="162" spans="1:5">
      <c r="A162" s="2" t="s">
        <v>211</v>
      </c>
      <c r="B162" s="2" t="s">
        <v>150</v>
      </c>
      <c r="C162" s="2">
        <f>VLOOKUP($A162,'Estimates of the use of water ('!$A:$Q,5,FALSE)</f>
        <v>0.55145035999999836</v>
      </c>
      <c r="D162" s="2">
        <f>VLOOKUP($A162,'Estimates of the use of water ('!$A:$Q,6,FALSE)</f>
        <v>6688.7460940000001</v>
      </c>
      <c r="E162" s="2">
        <f>VLOOKUP($A162,'Estimates of the use of water ('!$A:$Q,17,FALSE)</f>
        <v>1.1533054479999976</v>
      </c>
    </row>
    <row r="163" spans="1:5">
      <c r="A163" s="2" t="s">
        <v>212</v>
      </c>
      <c r="B163" s="2" t="s">
        <v>150</v>
      </c>
      <c r="C163" s="2">
        <f>VLOOKUP($A163,'Estimates of the use of water ('!$A:$Q,5,FALSE)</f>
        <v>0.57147263399999981</v>
      </c>
      <c r="D163" s="2">
        <f>VLOOKUP($A163,'Estimates of the use of water ('!$A:$Q,6,FALSE)</f>
        <v>30470.738280000001</v>
      </c>
      <c r="E163" s="2">
        <f>VLOOKUP($A163,'Estimates of the use of water ('!$A:$Q,17,FALSE)</f>
        <v>1.502362930000001</v>
      </c>
    </row>
    <row r="164" spans="1:5">
      <c r="A164" s="2" t="s">
        <v>213</v>
      </c>
      <c r="B164" s="2" t="s">
        <v>143</v>
      </c>
      <c r="C164" s="2">
        <f>VLOOKUP($A164,'Estimates of the use of water ('!$A:$Q,5,FALSE)</f>
        <v>0.41826670799999877</v>
      </c>
      <c r="D164" s="2">
        <f>VLOOKUP($A164,'Estimates of the use of water ('!$A:$Q,6,FALSE)</f>
        <v>102113.2031</v>
      </c>
      <c r="E164" s="2">
        <f>VLOOKUP($A164,'Estimates of the use of water ('!$A:$Q,17,FALSE)</f>
        <v>0.57075417800000139</v>
      </c>
    </row>
    <row r="165" spans="1:5">
      <c r="A165" s="2" t="s">
        <v>214</v>
      </c>
      <c r="B165" s="2" t="s">
        <v>144</v>
      </c>
      <c r="C165" s="2">
        <f>VLOOKUP($A165,'Estimates of the use of water ('!$A:$Q,5,FALSE)</f>
        <v>0.1469043340000013</v>
      </c>
      <c r="D165" s="2">
        <f>VLOOKUP($A165,'Estimates of the use of water ('!$A:$Q,6,FALSE)</f>
        <v>38034.074220000002</v>
      </c>
      <c r="E165" s="2">
        <f>VLOOKUP($A165,'Estimates of the use of water ('!$A:$Q,17,FALSE)</f>
        <v>0.29241935400000046</v>
      </c>
    </row>
    <row r="166" spans="1:5">
      <c r="A166" s="2" t="s">
        <v>215</v>
      </c>
      <c r="B166" s="2" t="s">
        <v>144</v>
      </c>
      <c r="C166" s="2">
        <f>VLOOKUP($A166,'Estimates of the use of water ('!$A:$Q,5,FALSE)</f>
        <v>1.4607659999995803E-3</v>
      </c>
      <c r="D166" s="2">
        <f>VLOOKUP($A166,'Estimates of the use of water ('!$A:$Q,6,FALSE)</f>
        <v>10368.3457</v>
      </c>
      <c r="E166" s="2">
        <f>VLOOKUP($A166,'Estimates of the use of water ('!$A:$Q,17,FALSE)</f>
        <v>0</v>
      </c>
    </row>
    <row r="167" spans="1:5">
      <c r="A167" s="2" t="s">
        <v>216</v>
      </c>
      <c r="B167" s="2" t="s">
        <v>150</v>
      </c>
      <c r="C167" s="2">
        <f>VLOOKUP($A167,'Estimates of the use of water ('!$A:$Q,5,FALSE)</f>
        <v>0.11491004799999871</v>
      </c>
      <c r="D167" s="2">
        <f>VLOOKUP($A167,'Estimates of the use of water ('!$A:$Q,6,FALSE)</f>
        <v>3381.5119629999999</v>
      </c>
      <c r="E167" s="2" t="str">
        <f>VLOOKUP($A167,'Estimates of the use of water ('!$A:$Q,17,FALSE)</f>
        <v>null</v>
      </c>
    </row>
    <row r="168" spans="1:5">
      <c r="A168" s="2" t="s">
        <v>217</v>
      </c>
      <c r="B168" s="2" t="s">
        <v>144</v>
      </c>
      <c r="C168" s="2">
        <f>VLOOKUP($A168,'Estimates of the use of water ('!$A:$Q,5,FALSE)</f>
        <v>-2.4679888000000004E-2</v>
      </c>
      <c r="D168" s="2">
        <f>VLOOKUP($A168,'Estimates of the use of water ('!$A:$Q,6,FALSE)</f>
        <v>2565.7080080000001</v>
      </c>
      <c r="E168" s="2" t="str">
        <f>VLOOKUP($A168,'Estimates of the use of water ('!$A:$Q,17,FALSE)</f>
        <v>null</v>
      </c>
    </row>
    <row r="169" spans="1:5">
      <c r="A169" s="2" t="s">
        <v>218</v>
      </c>
      <c r="B169" s="2" t="s">
        <v>147</v>
      </c>
      <c r="C169" s="2">
        <f>VLOOKUP($A169,'Estimates of the use of water ('!$A:$Q,5,FALSE)</f>
        <v>9.1730047999999439E-2</v>
      </c>
      <c r="D169" s="2">
        <f>VLOOKUP($A169,'Estimates of the use of water ('!$A:$Q,6,FALSE)</f>
        <v>50823.085939999997</v>
      </c>
      <c r="E169" s="2" t="str">
        <f>VLOOKUP($A169,'Estimates of the use of water ('!$A:$Q,17,FALSE)</f>
        <v>null</v>
      </c>
    </row>
    <row r="170" spans="1:5">
      <c r="A170" s="2" t="s">
        <v>219</v>
      </c>
      <c r="B170" s="2" t="s">
        <v>144</v>
      </c>
      <c r="C170" s="2">
        <f>VLOOKUP($A170,'Estimates of the use of water ('!$A:$Q,5,FALSE)</f>
        <v>0.39878606799999827</v>
      </c>
      <c r="D170" s="2">
        <f>VLOOKUP($A170,'Estimates of the use of water ('!$A:$Q,6,FALSE)</f>
        <v>4070.705078</v>
      </c>
      <c r="E170" s="2">
        <f>VLOOKUP($A170,'Estimates of the use of water ('!$A:$Q,17,FALSE)</f>
        <v>0.58770947399999895</v>
      </c>
    </row>
    <row r="171" spans="1:5">
      <c r="A171" s="2" t="s">
        <v>220</v>
      </c>
      <c r="B171" s="2" t="s">
        <v>148</v>
      </c>
      <c r="C171" s="2">
        <f>VLOOKUP($A171,'Estimates of the use of water ('!$A:$Q,5,FALSE)</f>
        <v>1.7693962000001305E-2</v>
      </c>
      <c r="D171" s="2">
        <f>VLOOKUP($A171,'Estimates of the use of water ('!$A:$Q,6,FALSE)</f>
        <v>863.35900879999997</v>
      </c>
      <c r="E171" s="2" t="str">
        <f>VLOOKUP($A171,'Estimates of the use of water ('!$A:$Q,17,FALSE)</f>
        <v>null</v>
      </c>
    </row>
    <row r="172" spans="1:5">
      <c r="A172" s="2" t="s">
        <v>221</v>
      </c>
      <c r="B172" s="2" t="s">
        <v>144</v>
      </c>
      <c r="C172" s="2">
        <f>VLOOKUP($A172,'Estimates of the use of water ('!$A:$Q,5,FALSE)</f>
        <v>0</v>
      </c>
      <c r="D172" s="2">
        <f>VLOOKUP($A172,'Estimates of the use of water ('!$A:$Q,6,FALSE)</f>
        <v>19925.181639999999</v>
      </c>
      <c r="E172" s="2">
        <f>VLOOKUP($A172,'Estimates of the use of water ('!$A:$Q,17,FALSE)</f>
        <v>0</v>
      </c>
    </row>
    <row r="173" spans="1:5">
      <c r="A173" s="2" t="s">
        <v>222</v>
      </c>
      <c r="B173" s="2" t="s">
        <v>144</v>
      </c>
      <c r="C173" s="2">
        <f>VLOOKUP($A173,'Estimates of the use of water ('!$A:$Q,5,FALSE)</f>
        <v>9.307852800000091E-2</v>
      </c>
      <c r="D173" s="2">
        <f>VLOOKUP($A173,'Estimates of the use of water ('!$A:$Q,6,FALSE)</f>
        <v>144985.0625</v>
      </c>
      <c r="E173" s="2">
        <f>VLOOKUP($A173,'Estimates of the use of water ('!$A:$Q,17,FALSE)</f>
        <v>0.2867985900000008</v>
      </c>
    </row>
    <row r="174" spans="1:5">
      <c r="A174" s="2" t="s">
        <v>223</v>
      </c>
      <c r="B174" s="2" t="s">
        <v>148</v>
      </c>
      <c r="C174" s="2">
        <f>VLOOKUP($A174,'Estimates of the use of water ('!$A:$Q,5,FALSE)</f>
        <v>0.65854542600000054</v>
      </c>
      <c r="D174" s="2">
        <f>VLOOKUP($A174,'Estimates of the use of water ('!$A:$Q,6,FALSE)</f>
        <v>11369.066409999999</v>
      </c>
      <c r="E174" s="2">
        <f>VLOOKUP($A174,'Estimates of the use of water ('!$A:$Q,17,FALSE)</f>
        <v>0.65795173399999951</v>
      </c>
    </row>
    <row r="175" spans="1:5">
      <c r="A175" s="2" t="s">
        <v>224</v>
      </c>
      <c r="B175" s="2" t="s">
        <v>150</v>
      </c>
      <c r="C175" s="2">
        <f>VLOOKUP($A175,'Estimates of the use of water ('!$A:$Q,5,FALSE)</f>
        <v>7.0161460000008448E-3</v>
      </c>
      <c r="D175" s="2">
        <f>VLOOKUP($A175,'Estimates of the use of water ('!$A:$Q,6,FALSE)</f>
        <v>9.6959999999999997</v>
      </c>
      <c r="E175" s="2" t="str">
        <f>VLOOKUP($A175,'Estimates of the use of water ('!$A:$Q,17,FALSE)</f>
        <v>null</v>
      </c>
    </row>
    <row r="176" spans="1:5">
      <c r="A176" s="2" t="s">
        <v>225</v>
      </c>
      <c r="B176" s="2" t="s">
        <v>148</v>
      </c>
      <c r="C176" s="2">
        <f>VLOOKUP($A176,'Estimates of the use of water ('!$A:$Q,5,FALSE)</f>
        <v>2.9999999999998295E-2</v>
      </c>
      <c r="D176" s="2">
        <f>VLOOKUP($A176,'Estimates of the use of water ('!$A:$Q,6,FALSE)</f>
        <v>5.8689999579999999</v>
      </c>
      <c r="E176" s="2" t="str">
        <f>VLOOKUP($A176,'Estimates of the use of water ('!$A:$Q,17,FALSE)</f>
        <v>null</v>
      </c>
    </row>
    <row r="177" spans="1:5">
      <c r="A177" s="2" t="s">
        <v>226</v>
      </c>
      <c r="B177" s="2" t="s">
        <v>150</v>
      </c>
      <c r="C177" s="2">
        <f>VLOOKUP($A177,'Estimates of the use of water ('!$A:$Q,5,FALSE)</f>
        <v>0</v>
      </c>
      <c r="D177" s="2">
        <f>VLOOKUP($A177,'Estimates of the use of water ('!$A:$Q,6,FALSE)</f>
        <v>51.203998570000003</v>
      </c>
      <c r="E177" s="2" t="str">
        <f>VLOOKUP($A177,'Estimates of the use of water ('!$A:$Q,17,FALSE)</f>
        <v>null</v>
      </c>
    </row>
    <row r="178" spans="1:5">
      <c r="A178" s="2" t="s">
        <v>227</v>
      </c>
      <c r="B178" s="2" t="s">
        <v>150</v>
      </c>
      <c r="C178" s="2">
        <f>VLOOKUP($A178,'Estimates of the use of water ('!$A:$Q,5,FALSE)</f>
        <v>0.26395005800000038</v>
      </c>
      <c r="D178" s="2">
        <f>VLOOKUP($A178,'Estimates of the use of water ('!$A:$Q,6,FALSE)</f>
        <v>179.1309967</v>
      </c>
      <c r="E178" s="2">
        <f>VLOOKUP($A178,'Estimates of the use of water ('!$A:$Q,17,FALSE)</f>
        <v>0.30035251799999968</v>
      </c>
    </row>
    <row r="179" spans="1:5">
      <c r="A179" s="2" t="s">
        <v>228</v>
      </c>
      <c r="B179" s="2" t="s">
        <v>150</v>
      </c>
      <c r="C179" s="2">
        <f>VLOOKUP($A179,'Estimates of the use of water ('!$A:$Q,5,FALSE)</f>
        <v>-1.0056200000008175E-4</v>
      </c>
      <c r="D179" s="2">
        <f>VLOOKUP($A179,'Estimates of the use of water ('!$A:$Q,6,FALSE)</f>
        <v>35.865000000000002</v>
      </c>
      <c r="E179" s="2" t="str">
        <f>VLOOKUP($A179,'Estimates of the use of water ('!$A:$Q,17,FALSE)</f>
        <v>null</v>
      </c>
    </row>
    <row r="180" spans="1:5">
      <c r="A180" s="2" t="s">
        <v>229</v>
      </c>
      <c r="B180" s="2" t="s">
        <v>155</v>
      </c>
      <c r="C180" s="2">
        <f>VLOOKUP($A180,'Estimates of the use of water ('!$A:$Q,5,FALSE)</f>
        <v>0</v>
      </c>
      <c r="D180" s="2">
        <f>VLOOKUP($A180,'Estimates of the use of water ('!$A:$Q,6,FALSE)</f>
        <v>5.9920001029999996</v>
      </c>
      <c r="E180" s="2" t="str">
        <f>VLOOKUP($A180,'Estimates of the use of water ('!$A:$Q,17,FALSE)</f>
        <v>null</v>
      </c>
    </row>
    <row r="181" spans="1:5">
      <c r="A181" s="2" t="s">
        <v>230</v>
      </c>
      <c r="B181" s="2" t="s">
        <v>150</v>
      </c>
      <c r="C181" s="2">
        <f>VLOOKUP($A181,'Estimates of the use of water ('!$A:$Q,5,FALSE)</f>
        <v>0</v>
      </c>
      <c r="D181" s="2">
        <f>VLOOKUP($A181,'Estimates of the use of water ('!$A:$Q,6,FALSE)</f>
        <v>109.13500209999999</v>
      </c>
      <c r="E181" s="2" t="str">
        <f>VLOOKUP($A181,'Estimates of the use of water ('!$A:$Q,17,FALSE)</f>
        <v>null</v>
      </c>
    </row>
    <row r="182" spans="1:5">
      <c r="A182" s="2" t="s">
        <v>231</v>
      </c>
      <c r="B182" s="2" t="s">
        <v>147</v>
      </c>
      <c r="C182" s="2">
        <f>VLOOKUP($A182,'Estimates of the use of water ('!$A:$Q,5,FALSE)</f>
        <v>0.10326543799999968</v>
      </c>
      <c r="D182" s="2">
        <f>VLOOKUP($A182,'Estimates of the use of water ('!$A:$Q,6,FALSE)</f>
        <v>193.5099945</v>
      </c>
      <c r="E182" s="2">
        <f>VLOOKUP($A182,'Estimates of the use of water ('!$A:$Q,17,FALSE)</f>
        <v>7.8781444000000533E-2</v>
      </c>
    </row>
    <row r="183" spans="1:5">
      <c r="A183" s="2" t="s">
        <v>232</v>
      </c>
      <c r="B183" s="2" t="s">
        <v>144</v>
      </c>
      <c r="C183" s="2">
        <f>VLOOKUP($A183,'Estimates of the use of water ('!$A:$Q,5,FALSE)</f>
        <v>0</v>
      </c>
      <c r="D183" s="2">
        <f>VLOOKUP($A183,'Estimates of the use of water ('!$A:$Q,6,FALSE)</f>
        <v>33.270000459999999</v>
      </c>
      <c r="E183" s="2" t="str">
        <f>VLOOKUP($A183,'Estimates of the use of water ('!$A:$Q,17,FALSE)</f>
        <v>null</v>
      </c>
    </row>
    <row r="184" spans="1:5">
      <c r="A184" s="2" t="s">
        <v>233</v>
      </c>
      <c r="B184" s="2" t="s">
        <v>148</v>
      </c>
      <c r="C184" s="2">
        <f>VLOOKUP($A184,'Estimates of the use of water ('!$A:$Q,5,FALSE)</f>
        <v>0.22044507399999985</v>
      </c>
      <c r="D184" s="2">
        <f>VLOOKUP($A184,'Estimates of the use of water ('!$A:$Q,6,FALSE)</f>
        <v>199.43899540000001</v>
      </c>
      <c r="E184" s="2">
        <f>VLOOKUP($A184,'Estimates of the use of water ('!$A:$Q,17,FALSE)</f>
        <v>0.6035795699999994</v>
      </c>
    </row>
    <row r="185" spans="1:5">
      <c r="A185" s="2" t="s">
        <v>234</v>
      </c>
      <c r="B185" s="2" t="s">
        <v>144</v>
      </c>
      <c r="C185" s="2">
        <f>VLOOKUP($A185,'Estimates of the use of water ('!$A:$Q,5,FALSE)</f>
        <v>9.0394724000000787E-2</v>
      </c>
      <c r="D185" s="2">
        <f>VLOOKUP($A185,'Estimates of the use of water ('!$A:$Q,6,FALSE)</f>
        <v>31717.675780000001</v>
      </c>
      <c r="E185" s="2" t="str">
        <f>VLOOKUP($A185,'Estimates of the use of water ('!$A:$Q,17,FALSE)</f>
        <v>null</v>
      </c>
    </row>
    <row r="186" spans="1:5">
      <c r="A186" s="2" t="s">
        <v>235</v>
      </c>
      <c r="B186" s="2" t="s">
        <v>148</v>
      </c>
      <c r="C186" s="2">
        <f>VLOOKUP($A186,'Estimates of the use of water ('!$A:$Q,5,FALSE)</f>
        <v>1.2606288339999991</v>
      </c>
      <c r="D186" s="2">
        <f>VLOOKUP($A186,'Estimates of the use of water ('!$A:$Q,6,FALSE)</f>
        <v>14578.450199999999</v>
      </c>
      <c r="E186" s="2">
        <f>VLOOKUP($A186,'Estimates of the use of water ('!$A:$Q,17,FALSE)</f>
        <v>1.8603453279999997</v>
      </c>
    </row>
    <row r="187" spans="1:5">
      <c r="A187" s="2" t="s">
        <v>236</v>
      </c>
      <c r="B187" s="2" t="s">
        <v>144</v>
      </c>
      <c r="C187" s="2">
        <f>VLOOKUP($A187,'Estimates of the use of water ('!$A:$Q,5,FALSE)</f>
        <v>0.38181440399999927</v>
      </c>
      <c r="D187" s="2">
        <f>VLOOKUP($A187,'Estimates of the use of water ('!$A:$Q,6,FALSE)</f>
        <v>8876.7773440000001</v>
      </c>
      <c r="E187" s="2">
        <f>VLOOKUP($A187,'Estimates of the use of water ('!$A:$Q,17,FALSE)</f>
        <v>0.22428914000000191</v>
      </c>
    </row>
    <row r="188" spans="1:5">
      <c r="A188" s="2" t="s">
        <v>237</v>
      </c>
      <c r="B188" s="2" t="s">
        <v>147</v>
      </c>
      <c r="C188" s="2">
        <f>VLOOKUP($A188,'Estimates of the use of water ('!$A:$Q,5,FALSE)</f>
        <v>0.15021384750000166</v>
      </c>
      <c r="D188" s="2">
        <f>VLOOKUP($A188,'Estimates of the use of water ('!$A:$Q,6,FALSE)</f>
        <v>94.981002810000007</v>
      </c>
      <c r="E188" s="2" t="str">
        <f>VLOOKUP($A188,'Estimates of the use of water ('!$A:$Q,17,FALSE)</f>
        <v>null</v>
      </c>
    </row>
    <row r="189" spans="1:5">
      <c r="A189" s="2" t="s">
        <v>238</v>
      </c>
      <c r="B189" s="2" t="s">
        <v>148</v>
      </c>
      <c r="C189" s="2">
        <f>VLOOKUP($A189,'Estimates of the use of water ('!$A:$Q,5,FALSE)</f>
        <v>1.1837640919999999</v>
      </c>
      <c r="D189" s="2">
        <f>VLOOKUP($A189,'Estimates of the use of water ('!$A:$Q,6,FALSE)</f>
        <v>7171.9091799999997</v>
      </c>
      <c r="E189" s="2">
        <f>VLOOKUP($A189,'Estimates of the use of water ('!$A:$Q,17,FALSE)</f>
        <v>1.4445977659999998</v>
      </c>
    </row>
    <row r="190" spans="1:5">
      <c r="A190" s="2" t="s">
        <v>239</v>
      </c>
      <c r="B190" s="2" t="s">
        <v>147</v>
      </c>
      <c r="C190" s="2">
        <f>VLOOKUP($A190,'Estimates of the use of water ('!$A:$Q,5,FALSE)</f>
        <v>0</v>
      </c>
      <c r="D190" s="2">
        <f>VLOOKUP($A190,'Estimates of the use of water ('!$A:$Q,6,FALSE)</f>
        <v>5592.1430659999996</v>
      </c>
      <c r="E190" s="2" t="str">
        <f>VLOOKUP($A190,'Estimates of the use of water ('!$A:$Q,17,FALSE)</f>
        <v>null</v>
      </c>
    </row>
    <row r="191" spans="1:5">
      <c r="A191" s="2" t="s">
        <v>240</v>
      </c>
      <c r="B191" s="2" t="s">
        <v>150</v>
      </c>
      <c r="C191" s="2">
        <f>VLOOKUP($A191,'Estimates of the use of water ('!$A:$Q,5,FALSE)</f>
        <v>0</v>
      </c>
      <c r="D191" s="2">
        <f>VLOOKUP($A191,'Estimates of the use of water ('!$A:$Q,6,FALSE)</f>
        <v>39.966999049999998</v>
      </c>
      <c r="E191" s="2" t="str">
        <f>VLOOKUP($A191,'Estimates of the use of water ('!$A:$Q,17,FALSE)</f>
        <v>null</v>
      </c>
    </row>
    <row r="192" spans="1:5">
      <c r="A192" s="2" t="s">
        <v>241</v>
      </c>
      <c r="B192" s="2" t="s">
        <v>144</v>
      </c>
      <c r="C192" s="2">
        <f>VLOOKUP($A192,'Estimates of the use of water ('!$A:$Q,5,FALSE)</f>
        <v>1.018899999991163E-4</v>
      </c>
      <c r="D192" s="2">
        <f>VLOOKUP($A192,'Estimates of the use of water ('!$A:$Q,6,FALSE)</f>
        <v>5435.6137699999999</v>
      </c>
      <c r="E192" s="2">
        <f>VLOOKUP($A192,'Estimates of the use of water ('!$A:$Q,17,FALSE)</f>
        <v>0</v>
      </c>
    </row>
    <row r="193" spans="1:5">
      <c r="A193" s="2" t="s">
        <v>242</v>
      </c>
      <c r="B193" s="2" t="s">
        <v>144</v>
      </c>
      <c r="C193" s="2">
        <f>VLOOKUP($A193,'Estimates of the use of water ('!$A:$Q,5,FALSE)</f>
        <v>0</v>
      </c>
      <c r="D193" s="2">
        <f>VLOOKUP($A193,'Estimates of the use of water ('!$A:$Q,6,FALSE)</f>
        <v>2071.1989749999998</v>
      </c>
      <c r="E193" s="2" t="str">
        <f>VLOOKUP($A193,'Estimates of the use of water ('!$A:$Q,17,FALSE)</f>
        <v>null</v>
      </c>
    </row>
    <row r="194" spans="1:5">
      <c r="A194" s="2" t="s">
        <v>243</v>
      </c>
      <c r="B194" s="2" t="s">
        <v>147</v>
      </c>
      <c r="C194" s="2">
        <f>VLOOKUP($A194,'Estimates of the use of water ('!$A:$Q,5,FALSE)</f>
        <v>-0.40577867000000084</v>
      </c>
      <c r="D194" s="2">
        <f>VLOOKUP($A194,'Estimates of the use of water ('!$A:$Q,6,FALSE)</f>
        <v>603.13299559999996</v>
      </c>
      <c r="E194" s="2">
        <f>VLOOKUP($A194,'Estimates of the use of water ('!$A:$Q,17,FALSE)</f>
        <v>-0.72137414000000033</v>
      </c>
    </row>
    <row r="195" spans="1:5">
      <c r="A195" s="2" t="s">
        <v>244</v>
      </c>
      <c r="B195" s="2" t="s">
        <v>148</v>
      </c>
      <c r="C195" s="2">
        <f>VLOOKUP($A195,'Estimates of the use of water ('!$A:$Q,5,FALSE)</f>
        <v>1.553163941999999</v>
      </c>
      <c r="D195" s="2">
        <f>VLOOKUP($A195,'Estimates of the use of water ('!$A:$Q,6,FALSE)</f>
        <v>13797.204100000001</v>
      </c>
      <c r="E195" s="2">
        <f>VLOOKUP($A195,'Estimates of the use of water ('!$A:$Q,17,FALSE)</f>
        <v>1.5695340439999996</v>
      </c>
    </row>
    <row r="196" spans="1:5">
      <c r="A196" s="2" t="s">
        <v>245</v>
      </c>
      <c r="B196" s="2" t="s">
        <v>148</v>
      </c>
      <c r="C196" s="2">
        <f>VLOOKUP($A196,'Estimates of the use of water ('!$A:$Q,5,FALSE)</f>
        <v>0.4017427139999995</v>
      </c>
      <c r="D196" s="2">
        <f>VLOOKUP($A196,'Estimates of the use of water ('!$A:$Q,6,FALSE)</f>
        <v>55386.367189999997</v>
      </c>
      <c r="E196" s="2">
        <f>VLOOKUP($A196,'Estimates of the use of water ('!$A:$Q,17,FALSE)</f>
        <v>0.85914853000000169</v>
      </c>
    </row>
    <row r="197" spans="1:5">
      <c r="A197" s="2" t="s">
        <v>246</v>
      </c>
      <c r="B197" s="2" t="s">
        <v>148</v>
      </c>
      <c r="C197" s="2">
        <f>VLOOKUP($A197,'Estimates of the use of water ('!$A:$Q,5,FALSE)</f>
        <v>-5.9316458000000696E-2</v>
      </c>
      <c r="D197" s="2">
        <f>VLOOKUP($A197,'Estimates of the use of water ('!$A:$Q,6,FALSE)</f>
        <v>10715.657230000001</v>
      </c>
      <c r="E197" s="2">
        <f>VLOOKUP($A197,'Estimates of the use of water ('!$A:$Q,17,FALSE)</f>
        <v>-0.6266301839999997</v>
      </c>
    </row>
    <row r="198" spans="1:5">
      <c r="A198" s="2" t="s">
        <v>247</v>
      </c>
      <c r="B198" s="2" t="s">
        <v>144</v>
      </c>
      <c r="C198" s="2">
        <f>VLOOKUP($A198,'Estimates of the use of water ('!$A:$Q,5,FALSE)</f>
        <v>-2.2156999999936033E-4</v>
      </c>
      <c r="D198" s="2">
        <f>VLOOKUP($A198,'Estimates of the use of water ('!$A:$Q,6,FALSE)</f>
        <v>46671.917970000002</v>
      </c>
      <c r="E198" s="2">
        <f>VLOOKUP($A198,'Estimates of the use of water ('!$A:$Q,17,FALSE)</f>
        <v>0</v>
      </c>
    </row>
    <row r="199" spans="1:5">
      <c r="A199" s="2" t="s">
        <v>248</v>
      </c>
      <c r="B199" s="2" t="s">
        <v>143</v>
      </c>
      <c r="C199" s="2">
        <f>VLOOKUP($A199,'Estimates of the use of water ('!$A:$Q,5,FALSE)</f>
        <v>0.42331015999999977</v>
      </c>
      <c r="D199" s="2">
        <f>VLOOKUP($A199,'Estimates of the use of water ('!$A:$Q,6,FALSE)</f>
        <v>20908.023440000001</v>
      </c>
      <c r="E199" s="2">
        <f>VLOOKUP($A199,'Estimates of the use of water ('!$A:$Q,17,FALSE)</f>
        <v>0.45606591199999968</v>
      </c>
    </row>
    <row r="200" spans="1:5">
      <c r="A200" s="2" t="s">
        <v>249</v>
      </c>
      <c r="B200" s="2" t="s">
        <v>145</v>
      </c>
      <c r="C200" s="2">
        <f>VLOOKUP($A200,'Estimates of the use of water ('!$A:$Q,5,FALSE)</f>
        <v>0.29968445599999993</v>
      </c>
      <c r="D200" s="2">
        <f>VLOOKUP($A200,'Estimates of the use of water ('!$A:$Q,6,FALSE)</f>
        <v>38902.949220000002</v>
      </c>
      <c r="E200" s="2">
        <f>VLOOKUP($A200,'Estimates of the use of water ('!$A:$Q,17,FALSE)</f>
        <v>0.29831786799999949</v>
      </c>
    </row>
    <row r="201" spans="1:5">
      <c r="A201" s="2" t="s">
        <v>250</v>
      </c>
      <c r="B201" s="2" t="s">
        <v>150</v>
      </c>
      <c r="C201" s="2">
        <f>VLOOKUP($A201,'Estimates of the use of water ('!$A:$Q,5,FALSE)</f>
        <v>0.44838790000000017</v>
      </c>
      <c r="D201" s="2">
        <f>VLOOKUP($A201,'Estimates of the use of water ('!$A:$Q,6,FALSE)</f>
        <v>559.13598630000001</v>
      </c>
      <c r="E201" s="2">
        <f>VLOOKUP($A201,'Estimates of the use of water ('!$A:$Q,17,FALSE)</f>
        <v>1.1989592619999996</v>
      </c>
    </row>
    <row r="202" spans="1:5">
      <c r="A202" s="2" t="s">
        <v>251</v>
      </c>
      <c r="B202" s="2" t="s">
        <v>144</v>
      </c>
      <c r="C202" s="2">
        <f>VLOOKUP($A202,'Estimates of the use of water ('!$A:$Q,5,FALSE)</f>
        <v>9.1273199999989171E-3</v>
      </c>
      <c r="D202" s="2">
        <f>VLOOKUP($A202,'Estimates of the use of water ('!$A:$Q,6,FALSE)</f>
        <v>9764.9492190000001</v>
      </c>
      <c r="E202" s="2">
        <f>VLOOKUP($A202,'Estimates of the use of water ('!$A:$Q,17,FALSE)</f>
        <v>3.387764200000163E-2</v>
      </c>
    </row>
    <row r="203" spans="1:5">
      <c r="A203" s="2" t="s">
        <v>252</v>
      </c>
      <c r="B203" s="2" t="s">
        <v>144</v>
      </c>
      <c r="C203" s="2">
        <f>VLOOKUP($A203,'Estimates of the use of water ('!$A:$Q,5,FALSE)</f>
        <v>5.6000000085987263E-7</v>
      </c>
      <c r="D203" s="2">
        <f>VLOOKUP($A203,'Estimates of the use of water ('!$A:$Q,6,FALSE)</f>
        <v>8296.7753909999992</v>
      </c>
      <c r="E203" s="2">
        <f>VLOOKUP($A203,'Estimates of the use of water ('!$A:$Q,17,FALSE)</f>
        <v>0</v>
      </c>
    </row>
    <row r="204" spans="1:5">
      <c r="A204" s="2" t="s">
        <v>253</v>
      </c>
      <c r="B204" s="2" t="s">
        <v>145</v>
      </c>
      <c r="C204" s="2">
        <f>VLOOKUP($A204,'Estimates of the use of water ('!$A:$Q,5,FALSE)</f>
        <v>8.3249139999998084E-2</v>
      </c>
      <c r="D204" s="2">
        <f>VLOOKUP($A204,'Estimates of the use of water ('!$A:$Q,6,FALSE)</f>
        <v>17997.410159999999</v>
      </c>
      <c r="E204" s="2">
        <f>VLOOKUP($A204,'Estimates of the use of water ('!$A:$Q,17,FALSE)</f>
        <v>0.13940798000000143</v>
      </c>
    </row>
    <row r="205" spans="1:5">
      <c r="A205" s="2" t="s">
        <v>254</v>
      </c>
      <c r="B205" s="2" t="s">
        <v>144</v>
      </c>
      <c r="C205" s="2">
        <f>VLOOKUP($A205,'Estimates of the use of water ('!$A:$Q,5,FALSE)</f>
        <v>1.1225839019999995</v>
      </c>
      <c r="D205" s="2">
        <f>VLOOKUP($A205,'Estimates of the use of water ('!$A:$Q,6,FALSE)</f>
        <v>8454.0185550000006</v>
      </c>
      <c r="E205" s="2">
        <f>VLOOKUP($A205,'Estimates of the use of water ('!$A:$Q,17,FALSE)</f>
        <v>1.4182834279999981</v>
      </c>
    </row>
    <row r="206" spans="1:5">
      <c r="A206" s="2" t="s">
        <v>255</v>
      </c>
      <c r="B206" s="2" t="s">
        <v>147</v>
      </c>
      <c r="C206" s="2">
        <f>VLOOKUP($A206,'Estimates of the use of water ('!$A:$Q,5,FALSE)</f>
        <v>0.14816588399999944</v>
      </c>
      <c r="D206" s="2">
        <f>VLOOKUP($A206,'Estimates of the use of water ('!$A:$Q,6,FALSE)</f>
        <v>68714.515629999994</v>
      </c>
      <c r="E206" s="2">
        <f>VLOOKUP($A206,'Estimates of the use of water ('!$A:$Q,17,FALSE)</f>
        <v>0.22409665799999914</v>
      </c>
    </row>
    <row r="207" spans="1:5">
      <c r="A207" s="2" t="s">
        <v>256</v>
      </c>
      <c r="B207" s="2" t="s">
        <v>147</v>
      </c>
      <c r="C207" s="2">
        <f>VLOOKUP($A207,'Estimates of the use of water ('!$A:$Q,5,FALSE)</f>
        <v>2.0490994979999981</v>
      </c>
      <c r="D207" s="2">
        <f>VLOOKUP($A207,'Estimates of the use of water ('!$A:$Q,6,FALSE)</f>
        <v>1196.2939449999999</v>
      </c>
      <c r="E207" s="2">
        <f>VLOOKUP($A207,'Estimates of the use of water ('!$A:$Q,17,FALSE)</f>
        <v>2.3056811740000001</v>
      </c>
    </row>
    <row r="208" spans="1:5">
      <c r="A208" s="2" t="s">
        <v>257</v>
      </c>
      <c r="B208" s="2" t="s">
        <v>148</v>
      </c>
      <c r="C208" s="2">
        <f>VLOOKUP($A208,'Estimates of the use of water ('!$A:$Q,5,FALSE)</f>
        <v>0.98931874799999941</v>
      </c>
      <c r="D208" s="2">
        <f>VLOOKUP($A208,'Estimates of the use of water ('!$A:$Q,6,FALSE)</f>
        <v>7323.1621089999999</v>
      </c>
      <c r="E208" s="2">
        <f>VLOOKUP($A208,'Estimates of the use of water ('!$A:$Q,17,FALSE)</f>
        <v>0.97507389400000055</v>
      </c>
    </row>
    <row r="209" spans="1:5">
      <c r="A209" s="2" t="s">
        <v>258</v>
      </c>
      <c r="B209" s="2" t="s">
        <v>147</v>
      </c>
      <c r="C209" s="2">
        <f>VLOOKUP($A209,'Estimates of the use of water ('!$A:$Q,5,FALSE)</f>
        <v>5.0056129999998686E-2</v>
      </c>
      <c r="D209" s="2">
        <f>VLOOKUP($A209,'Estimates of the use of water ('!$A:$Q,6,FALSE)</f>
        <v>1.2469999789999999</v>
      </c>
      <c r="E209" s="2">
        <f>VLOOKUP($A209,'Estimates of the use of water ('!$A:$Q,17,FALSE)</f>
        <v>5.0056129999998686E-2</v>
      </c>
    </row>
    <row r="210" spans="1:5">
      <c r="A210" s="2" t="s">
        <v>259</v>
      </c>
      <c r="B210" s="2" t="s">
        <v>147</v>
      </c>
      <c r="C210" s="2">
        <f>VLOOKUP($A210,'Estimates of the use of water ('!$A:$Q,5,FALSE)</f>
        <v>3.6275095999999965E-2</v>
      </c>
      <c r="D210" s="2">
        <f>VLOOKUP($A210,'Estimates of the use of water ('!$A:$Q,6,FALSE)</f>
        <v>100.7799988</v>
      </c>
      <c r="E210" s="2">
        <f>VLOOKUP($A210,'Estimates of the use of water ('!$A:$Q,17,FALSE)</f>
        <v>1.5006061999997655E-2</v>
      </c>
    </row>
    <row r="211" spans="1:5">
      <c r="A211" s="2" t="s">
        <v>260</v>
      </c>
      <c r="B211" s="2" t="s">
        <v>150</v>
      </c>
      <c r="C211" s="2">
        <f>VLOOKUP($A211,'Estimates of the use of water ('!$A:$Q,5,FALSE)</f>
        <v>0.14779862400000071</v>
      </c>
      <c r="D211" s="2">
        <f>VLOOKUP($A211,'Estimates of the use of water ('!$A:$Q,6,FALSE)</f>
        <v>1370.3320309999999</v>
      </c>
      <c r="E211" s="2" t="str">
        <f>VLOOKUP($A211,'Estimates of the use of water ('!$A:$Q,17,FALSE)</f>
        <v>null</v>
      </c>
    </row>
    <row r="212" spans="1:5">
      <c r="A212" s="2" t="s">
        <v>261</v>
      </c>
      <c r="B212" s="2" t="s">
        <v>148</v>
      </c>
      <c r="C212" s="2">
        <f>VLOOKUP($A212,'Estimates of the use of water ('!$A:$Q,5,FALSE)</f>
        <v>0.53957077800000097</v>
      </c>
      <c r="D212" s="2">
        <f>VLOOKUP($A212,'Estimates of the use of water ('!$A:$Q,6,FALSE)</f>
        <v>11179.95117</v>
      </c>
      <c r="E212" s="2">
        <f>VLOOKUP($A212,'Estimates of the use of water ('!$A:$Q,17,FALSE)</f>
        <v>1.6691117920000011</v>
      </c>
    </row>
    <row r="213" spans="1:5">
      <c r="A213" s="2" t="s">
        <v>262</v>
      </c>
      <c r="B213" s="2" t="s">
        <v>144</v>
      </c>
      <c r="C213" s="2">
        <f>VLOOKUP($A213,'Estimates of the use of water ('!$A:$Q,5,FALSE)</f>
        <v>0.15162200799999823</v>
      </c>
      <c r="D213" s="2">
        <f>VLOOKUP($A213,'Estimates of the use of water ('!$A:$Q,6,FALSE)</f>
        <v>78529.414059999996</v>
      </c>
      <c r="E213" s="2">
        <f>VLOOKUP($A213,'Estimates of the use of water ('!$A:$Q,17,FALSE)</f>
        <v>0.36425735600000164</v>
      </c>
    </row>
    <row r="214" spans="1:5">
      <c r="A214" s="2" t="s">
        <v>263</v>
      </c>
      <c r="B214" s="2" t="s">
        <v>144</v>
      </c>
      <c r="C214" s="2">
        <f>VLOOKUP($A214,'Estimates of the use of water ('!$A:$Q,5,FALSE)</f>
        <v>0.46821113800000091</v>
      </c>
      <c r="D214" s="2">
        <f>VLOOKUP($A214,'Estimates of the use of water ('!$A:$Q,6,FALSE)</f>
        <v>5565.283203</v>
      </c>
      <c r="E214" s="2">
        <f>VLOOKUP($A214,'Estimates of the use of water ('!$A:$Q,17,FALSE)</f>
        <v>0.75604336799999883</v>
      </c>
    </row>
    <row r="215" spans="1:5">
      <c r="A215" s="2" t="s">
        <v>264</v>
      </c>
      <c r="B215" s="2" t="s">
        <v>150</v>
      </c>
      <c r="C215" s="2">
        <f>VLOOKUP($A215,'Estimates of the use of water ('!$A:$Q,5,FALSE)</f>
        <v>0</v>
      </c>
      <c r="D215" s="2">
        <f>VLOOKUP($A215,'Estimates of the use of water ('!$A:$Q,6,FALSE)</f>
        <v>35.97900009</v>
      </c>
      <c r="E215" s="2" t="str">
        <f>VLOOKUP($A215,'Estimates of the use of water ('!$A:$Q,17,FALSE)</f>
        <v>null</v>
      </c>
    </row>
    <row r="216" spans="1:5">
      <c r="A216" s="2" t="s">
        <v>265</v>
      </c>
      <c r="B216" s="2" t="s">
        <v>147</v>
      </c>
      <c r="C216" s="2">
        <f>VLOOKUP($A216,'Estimates of the use of water ('!$A:$Q,5,FALSE)</f>
        <v>0</v>
      </c>
      <c r="D216" s="2">
        <f>VLOOKUP($A216,'Estimates of the use of water ('!$A:$Q,6,FALSE)</f>
        <v>11.09899998</v>
      </c>
      <c r="E216" s="2">
        <f>VLOOKUP($A216,'Estimates of the use of water ('!$A:$Q,17,FALSE)</f>
        <v>0</v>
      </c>
    </row>
    <row r="217" spans="1:5">
      <c r="A217" s="2" t="s">
        <v>266</v>
      </c>
      <c r="B217" s="2" t="s">
        <v>148</v>
      </c>
      <c r="C217" s="2">
        <f>VLOOKUP($A217,'Estimates of the use of water ('!$A:$Q,5,FALSE)</f>
        <v>1.6026981699999994</v>
      </c>
      <c r="D217" s="2">
        <f>VLOOKUP($A217,'Estimates of the use of water ('!$A:$Q,6,FALSE)</f>
        <v>38225.445310000003</v>
      </c>
      <c r="E217" s="2">
        <f>VLOOKUP($A217,'Estimates of the use of water ('!$A:$Q,17,FALSE)</f>
        <v>1.7028372899999993</v>
      </c>
    </row>
    <row r="218" spans="1:5">
      <c r="A218" s="2" t="s">
        <v>267</v>
      </c>
      <c r="B218" s="2" t="s">
        <v>144</v>
      </c>
      <c r="C218" s="2">
        <f>VLOOKUP($A218,'Estimates of the use of water ('!$A:$Q,5,FALSE)</f>
        <v>5.4275051999999845E-2</v>
      </c>
      <c r="D218" s="2">
        <f>VLOOKUP($A218,'Estimates of the use of water ('!$A:$Q,6,FALSE)</f>
        <v>44921.636720000002</v>
      </c>
      <c r="E218" s="2">
        <f>VLOOKUP($A218,'Estimates of the use of water ('!$A:$Q,17,FALSE)</f>
        <v>0.2313776780000012</v>
      </c>
    </row>
    <row r="219" spans="1:5">
      <c r="A219" s="2" t="s">
        <v>268</v>
      </c>
      <c r="B219" s="2" t="s">
        <v>144</v>
      </c>
      <c r="C219" s="2">
        <f>VLOOKUP($A219,'Estimates of the use of water ('!$A:$Q,5,FALSE)</f>
        <v>-1.1472939999976005E-3</v>
      </c>
      <c r="D219" s="2">
        <f>VLOOKUP($A219,'Estimates of the use of water ('!$A:$Q,6,FALSE)</f>
        <v>9262.8964840000008</v>
      </c>
      <c r="E219" s="2" t="str">
        <f>VLOOKUP($A219,'Estimates of the use of water ('!$A:$Q,17,FALSE)</f>
        <v>null</v>
      </c>
    </row>
    <row r="220" spans="1:5">
      <c r="A220" s="2" t="s">
        <v>269</v>
      </c>
      <c r="B220" s="2" t="s">
        <v>144</v>
      </c>
      <c r="C220" s="2">
        <f>VLOOKUP($A220,'Estimates of the use of water ('!$A:$Q,5,FALSE)</f>
        <v>-5.8800000033443214E-7</v>
      </c>
      <c r="D220" s="2">
        <f>VLOOKUP($A220,'Estimates of the use of water ('!$A:$Q,6,FALSE)</f>
        <v>65860.148440000004</v>
      </c>
      <c r="E220" s="2">
        <f>VLOOKUP($A220,'Estimates of the use of water ('!$A:$Q,17,FALSE)</f>
        <v>0</v>
      </c>
    </row>
    <row r="221" spans="1:5">
      <c r="A221" s="2" t="s">
        <v>270</v>
      </c>
      <c r="B221" s="2" t="s">
        <v>148</v>
      </c>
      <c r="C221" s="2">
        <f>VLOOKUP($A221,'Estimates of the use of water ('!$A:$Q,5,FALSE)</f>
        <v>1.5506005999999999</v>
      </c>
      <c r="D221" s="2">
        <f>VLOOKUP($A221,'Estimates of the use of water ('!$A:$Q,6,FALSE)</f>
        <v>51482.636720000002</v>
      </c>
      <c r="E221" s="2">
        <f>VLOOKUP($A221,'Estimates of the use of water ('!$A:$Q,17,FALSE)</f>
        <v>1.316708156</v>
      </c>
    </row>
    <row r="222" spans="1:5">
      <c r="A222" s="2" t="s">
        <v>271</v>
      </c>
      <c r="B222" s="2" t="s">
        <v>155</v>
      </c>
      <c r="C222" s="2" t="e">
        <f>VLOOKUP($A222,'Estimates of the use of water ('!$A:$Q,5,FALSE)</f>
        <v>#N/A</v>
      </c>
      <c r="D222" s="2" t="e">
        <f>VLOOKUP($A222,'Estimates of the use of water ('!$A:$Q,6,FALSE)</f>
        <v>#N/A</v>
      </c>
      <c r="E222" s="2" t="e">
        <f>VLOOKUP($A222,'Estimates of the use of water ('!$A:$Q,17,FALSE)</f>
        <v>#N/A</v>
      </c>
    </row>
    <row r="223" spans="1:5">
      <c r="A223" s="2" t="s">
        <v>272</v>
      </c>
      <c r="B223" s="2" t="s">
        <v>155</v>
      </c>
      <c r="C223" s="2">
        <f>VLOOKUP($A223,'Estimates of the use of water ('!$A:$Q,5,FALSE)</f>
        <v>8.7273784000001339E-2</v>
      </c>
      <c r="D223" s="2">
        <f>VLOOKUP($A223,'Estimates of the use of water ('!$A:$Q,6,FALSE)</f>
        <v>320878.3125</v>
      </c>
      <c r="E223" s="2">
        <f>VLOOKUP($A223,'Estimates of the use of water ('!$A:$Q,17,FALSE)</f>
        <v>0.37813376600000198</v>
      </c>
    </row>
    <row r="224" spans="1:5">
      <c r="A224" s="2" t="s">
        <v>273</v>
      </c>
      <c r="B224" s="2" t="s">
        <v>150</v>
      </c>
      <c r="C224" s="2">
        <f>VLOOKUP($A224,'Estimates of the use of water ('!$A:$Q,5,FALSE)</f>
        <v>-1.0860000003276582E-6</v>
      </c>
      <c r="D224" s="2">
        <f>VLOOKUP($A224,'Estimates of the use of water ('!$A:$Q,6,FALSE)</f>
        <v>104.9499969</v>
      </c>
      <c r="E224" s="2" t="str">
        <f>VLOOKUP($A224,'Estimates of the use of water ('!$A:$Q,17,FALSE)</f>
        <v>null</v>
      </c>
    </row>
    <row r="225" spans="1:5">
      <c r="A225" s="2" t="s">
        <v>274</v>
      </c>
      <c r="B225" s="2" t="s">
        <v>150</v>
      </c>
      <c r="C225" s="2">
        <f>VLOOKUP($A225,'Estimates of the use of water ('!$A:$Q,5,FALSE)</f>
        <v>7.2872000000000978E-2</v>
      </c>
      <c r="D225" s="2">
        <f>VLOOKUP($A225,'Estimates of the use of water ('!$A:$Q,6,FALSE)</f>
        <v>3412.0129390000002</v>
      </c>
      <c r="E225" s="2">
        <f>VLOOKUP($A225,'Estimates of the use of water ('!$A:$Q,17,FALSE)</f>
        <v>0.76099723199999969</v>
      </c>
    </row>
    <row r="226" spans="1:5">
      <c r="A226" s="2" t="s">
        <v>275</v>
      </c>
      <c r="B226" s="2" t="s">
        <v>144</v>
      </c>
      <c r="C226" s="2">
        <f>VLOOKUP($A226,'Estimates of the use of water ('!$A:$Q,5,FALSE)</f>
        <v>6.0041318000000385E-2</v>
      </c>
      <c r="D226" s="2">
        <f>VLOOKUP($A226,'Estimates of the use of water ('!$A:$Q,6,FALSE)</f>
        <v>30929.556639999999</v>
      </c>
      <c r="E226" s="2">
        <f>VLOOKUP($A226,'Estimates of the use of water ('!$A:$Q,17,FALSE)</f>
        <v>8.6038161999999835E-2</v>
      </c>
    </row>
    <row r="227" spans="1:5">
      <c r="A227" s="2" t="s">
        <v>276</v>
      </c>
      <c r="B227" s="2" t="s">
        <v>147</v>
      </c>
      <c r="C227" s="2">
        <f>VLOOKUP($A227,'Estimates of the use of water ('!$A:$Q,5,FALSE)</f>
        <v>0.24860285199999907</v>
      </c>
      <c r="D227" s="2">
        <f>VLOOKUP($A227,'Estimates of the use of water ('!$A:$Q,6,FALSE)</f>
        <v>271.1279907</v>
      </c>
      <c r="E227" s="2">
        <f>VLOOKUP($A227,'Estimates of the use of water ('!$A:$Q,17,FALSE)</f>
        <v>0.28383011399999986</v>
      </c>
    </row>
    <row r="228" spans="1:5">
      <c r="A228" s="2" t="s">
        <v>277</v>
      </c>
      <c r="B228" s="2" t="s">
        <v>150</v>
      </c>
      <c r="C228" s="2">
        <f>VLOOKUP($A228,'Estimates of the use of water ('!$A:$Q,5,FALSE)</f>
        <v>-0.17709485999999969</v>
      </c>
      <c r="D228" s="2">
        <f>VLOOKUP($A228,'Estimates of the use of water ('!$A:$Q,6,FALSE)</f>
        <v>30081.82617</v>
      </c>
      <c r="E228" s="2" t="str">
        <f>VLOOKUP($A228,'Estimates of the use of water ('!$A:$Q,17,FALSE)</f>
        <v>null</v>
      </c>
    </row>
    <row r="229" spans="1:5">
      <c r="A229" s="2" t="s">
        <v>278</v>
      </c>
      <c r="B229" s="2" t="s">
        <v>147</v>
      </c>
      <c r="C229" s="2">
        <f>VLOOKUP($A229,'Estimates of the use of water ('!$A:$Q,5,FALSE)</f>
        <v>0.71125925800000123</v>
      </c>
      <c r="D229" s="2">
        <f>VLOOKUP($A229,'Estimates of the use of water ('!$A:$Q,6,FALSE)</f>
        <v>92677.078129999994</v>
      </c>
      <c r="E229" s="2">
        <f>VLOOKUP($A229,'Estimates of the use of water ('!$A:$Q,17,FALSE)</f>
        <v>0.93629408999999841</v>
      </c>
    </row>
    <row r="230" spans="1:5">
      <c r="A230" s="2" t="s">
        <v>279</v>
      </c>
      <c r="B230" s="2" t="s">
        <v>147</v>
      </c>
      <c r="C230" s="2">
        <f>VLOOKUP($A230,'Estimates of the use of water ('!$A:$Q,5,FALSE)</f>
        <v>-3.5618833999998857E-2</v>
      </c>
      <c r="D230" s="2">
        <f>VLOOKUP($A230,'Estimates of the use of water ('!$A:$Q,6,FALSE)</f>
        <v>12.26200008</v>
      </c>
      <c r="E230" s="2">
        <f>VLOOKUP($A230,'Estimates of the use of water ('!$A:$Q,17,FALSE)</f>
        <v>-3.5618833999998857E-2</v>
      </c>
    </row>
    <row r="231" spans="1:5">
      <c r="A231" s="2" t="s">
        <v>280</v>
      </c>
      <c r="B231" s="2" t="s">
        <v>144</v>
      </c>
      <c r="C231" s="2">
        <f>VLOOKUP($A231,'Estimates of the use of water ('!$A:$Q,5,FALSE)</f>
        <v>0.30010810200000149</v>
      </c>
      <c r="D231" s="2">
        <f>VLOOKUP($A231,'Estimates of the use of water ('!$A:$Q,6,FALSE)</f>
        <v>4529.1601559999999</v>
      </c>
      <c r="E231" s="2">
        <f>VLOOKUP($A231,'Estimates of the use of water ('!$A:$Q,17,FALSE)</f>
        <v>0.66688281399999882</v>
      </c>
    </row>
    <row r="232" spans="1:5">
      <c r="A232" s="2" t="s">
        <v>281</v>
      </c>
      <c r="B232" s="2" t="s">
        <v>144</v>
      </c>
      <c r="C232" s="2">
        <f>VLOOKUP($A232,'Estimates of the use of water ('!$A:$Q,5,FALSE)</f>
        <v>0.97694024200000062</v>
      </c>
      <c r="D232" s="2">
        <f>VLOOKUP($A232,'Estimates of the use of water ('!$A:$Q,6,FALSE)</f>
        <v>26497.880860000001</v>
      </c>
      <c r="E232" s="2">
        <f>VLOOKUP($A232,'Estimates of the use of water ('!$A:$Q,17,FALSE)</f>
        <v>1.1446132419999997</v>
      </c>
    </row>
    <row r="233" spans="1:5">
      <c r="A233" s="2" t="s">
        <v>282</v>
      </c>
      <c r="B233" s="2" t="s">
        <v>148</v>
      </c>
      <c r="C233" s="2">
        <f>VLOOKUP($A233,'Estimates of the use of water ('!$A:$Q,5,FALSE)</f>
        <v>0.81472745800000013</v>
      </c>
      <c r="D233" s="2">
        <f>VLOOKUP($A233,'Estimates of the use of water ('!$A:$Q,6,FALSE)</f>
        <v>15879.37012</v>
      </c>
      <c r="E233" s="2">
        <f>VLOOKUP($A233,'Estimates of the use of water ('!$A:$Q,17,FALSE)</f>
        <v>0.9220908019999996</v>
      </c>
    </row>
    <row r="234" spans="1:5">
      <c r="A234" s="2" t="s">
        <v>283</v>
      </c>
      <c r="B234" s="2" t="s">
        <v>148</v>
      </c>
      <c r="C234" s="2">
        <f>VLOOKUP($A234,'Estimates of the use of water ('!$A:$Q,5,FALSE)</f>
        <v>-0.39098582199999898</v>
      </c>
      <c r="D234" s="2">
        <f>VLOOKUP($A234,'Estimates of the use of water ('!$A:$Q,6,FALSE)</f>
        <v>13814.641600000001</v>
      </c>
      <c r="E234" s="2">
        <f>VLOOKUP($A234,'Estimates of the use of water ('!$A:$Q,17,FALSE)</f>
        <v>-0.6500121419999999</v>
      </c>
    </row>
  </sheetData>
  <autoFilter ref="B2:B100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Estimates of the use of water (</vt:lpstr>
      <vt:lpstr>Summary Sheet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Tinashe Mahuku</cp:lastModifiedBy>
  <dcterms:created xsi:type="dcterms:W3CDTF">2026-09-06T20:42:55Z</dcterms:created>
  <dcterms:modified xsi:type="dcterms:W3CDTF">2026-09-12T11:44:06Z</dcterms:modified>
</cp:coreProperties>
</file>